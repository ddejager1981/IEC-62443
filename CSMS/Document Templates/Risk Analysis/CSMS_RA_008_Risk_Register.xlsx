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niel/Downloads/"/>
    </mc:Choice>
  </mc:AlternateContent>
  <xr:revisionPtr revIDLastSave="0" documentId="13_ncr:1_{8A290B9B-A670-1C4B-950A-791601241868}" xr6:coauthVersionLast="47" xr6:coauthVersionMax="47" xr10:uidLastSave="{00000000-0000-0000-0000-000000000000}"/>
  <bookViews>
    <workbookView xWindow="38400" yWindow="0" windowWidth="38400" windowHeight="21600" tabRatio="500" xr2:uid="{00000000-000D-0000-FFFF-FFFF00000000}"/>
  </bookViews>
  <sheets>
    <sheet name="📊 Dashboard" sheetId="1" r:id="rId1"/>
    <sheet name="📋 Risk Register" sheetId="2" r:id="rId2"/>
    <sheet name="🎯 Risk Matrix" sheetId="3" r:id="rId3"/>
    <sheet name="🔧 Treatment Tracker" sheetId="4" r:id="rId4"/>
    <sheet name="📖 Instructions" sheetId="5" r:id="rId5"/>
  </sheets>
  <definedNames>
    <definedName name="_xlnm._FilterDatabase" localSheetId="1" hidden="1">'📋 Risk Register'!$A$3:$AH$104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8" i="4" l="1"/>
  <c r="I8" i="4"/>
  <c r="G8" i="4"/>
  <c r="H8" i="4" s="1"/>
  <c r="F8" i="4"/>
  <c r="E8" i="4"/>
  <c r="D8" i="4"/>
  <c r="B8" i="4"/>
  <c r="J7" i="4"/>
  <c r="I7" i="4"/>
  <c r="G7" i="4"/>
  <c r="H7" i="4" s="1"/>
  <c r="F7" i="4"/>
  <c r="E7" i="4"/>
  <c r="D7" i="4"/>
  <c r="B7" i="4"/>
  <c r="J6" i="4"/>
  <c r="I6" i="4"/>
  <c r="G6" i="4"/>
  <c r="H6" i="4" s="1"/>
  <c r="F6" i="4"/>
  <c r="E6" i="4"/>
  <c r="D6" i="4"/>
  <c r="B6" i="4"/>
  <c r="J5" i="4"/>
  <c r="I5" i="4"/>
  <c r="G5" i="4"/>
  <c r="H5" i="4" s="1"/>
  <c r="F5" i="4"/>
  <c r="E5" i="4"/>
  <c r="D5" i="4"/>
  <c r="B5" i="4"/>
  <c r="J4" i="4"/>
  <c r="I4" i="4"/>
  <c r="G4" i="4"/>
  <c r="H4" i="4" s="1"/>
  <c r="F4" i="4"/>
  <c r="E4" i="4"/>
  <c r="D4" i="4"/>
  <c r="B4" i="4"/>
  <c r="J3" i="4"/>
  <c r="I3" i="4"/>
  <c r="G3" i="4"/>
  <c r="F3" i="4"/>
  <c r="E3" i="4"/>
  <c r="D3" i="4"/>
  <c r="B3" i="4"/>
  <c r="F8" i="3"/>
  <c r="J6" i="3"/>
  <c r="F6" i="3"/>
  <c r="E6" i="3"/>
  <c r="AE9" i="2"/>
  <c r="Q9" i="2"/>
  <c r="R9" i="2" s="1"/>
  <c r="AE8" i="2"/>
  <c r="Q8" i="2"/>
  <c r="AE7" i="2"/>
  <c r="Q7" i="2"/>
  <c r="AE6" i="2"/>
  <c r="Q6" i="2"/>
  <c r="AE5" i="2"/>
  <c r="Q5" i="2"/>
  <c r="AE4" i="2"/>
  <c r="Q4" i="2"/>
  <c r="R4" i="2" s="1"/>
  <c r="N2" i="2"/>
  <c r="F57" i="1"/>
  <c r="F56" i="1"/>
  <c r="F55" i="1"/>
  <c r="D55" i="1"/>
  <c r="F54" i="1"/>
  <c r="D54" i="1"/>
  <c r="F53" i="1"/>
  <c r="D53" i="1"/>
  <c r="F52" i="1"/>
  <c r="D52" i="1"/>
  <c r="F51" i="1"/>
  <c r="D51" i="1"/>
  <c r="H15" i="1"/>
  <c r="F15" i="1"/>
  <c r="H10" i="1"/>
  <c r="F10" i="1"/>
  <c r="D10" i="1"/>
  <c r="B6" i="1"/>
  <c r="F2" i="1"/>
  <c r="J12" i="4" l="1"/>
  <c r="H3" i="4"/>
  <c r="H12" i="4" s="1"/>
  <c r="D12" i="4"/>
  <c r="B12" i="4"/>
  <c r="F12" i="4"/>
  <c r="S9" i="2"/>
  <c r="T9" i="2"/>
  <c r="C8" i="4" s="1"/>
  <c r="E8" i="3"/>
  <c r="D8" i="3"/>
  <c r="C8" i="3"/>
  <c r="R8" i="2"/>
  <c r="F7" i="3"/>
  <c r="E7" i="3"/>
  <c r="D7" i="3"/>
  <c r="C7" i="3"/>
  <c r="R7" i="2"/>
  <c r="D6" i="3"/>
  <c r="R6" i="2"/>
  <c r="C6" i="3"/>
  <c r="F5" i="3"/>
  <c r="E5" i="3"/>
  <c r="D5" i="3"/>
  <c r="C5" i="3"/>
  <c r="R5" i="2"/>
  <c r="S4" i="2"/>
  <c r="T4" i="2"/>
  <c r="S8" i="2" l="1"/>
  <c r="T8" i="2"/>
  <c r="C7" i="4" s="1"/>
  <c r="S7" i="2"/>
  <c r="T7" i="2"/>
  <c r="T6" i="2"/>
  <c r="C5" i="4" s="1"/>
  <c r="S6" i="2"/>
  <c r="S5" i="2"/>
  <c r="T5" i="2"/>
  <c r="J3" i="3"/>
  <c r="J4" i="3"/>
  <c r="C3" i="4"/>
  <c r="F6" i="1"/>
  <c r="B10" i="1"/>
  <c r="B15" i="1"/>
  <c r="D15" i="1"/>
  <c r="B54" i="1"/>
  <c r="C6" i="4" l="1"/>
  <c r="J2" i="3"/>
  <c r="D6" i="1"/>
  <c r="H6" i="1"/>
  <c r="B52" i="1"/>
  <c r="B53" i="1"/>
  <c r="C4" i="4"/>
  <c r="J5" i="3"/>
  <c r="B51" i="1"/>
</calcChain>
</file>

<file path=xl/sharedStrings.xml><?xml version="1.0" encoding="utf-8"?>
<sst xmlns="http://schemas.openxmlformats.org/spreadsheetml/2006/main" count="299" uniqueCount="232">
  <si>
    <t>IACS CYBER SECURITY RISK REGISTER — LIVE DASHBOARD</t>
  </si>
  <si>
    <t>Document: CSMS-RA-008  |  Stage 2 — Risk Analysis</t>
  </si>
  <si>
    <t>RISK POSTURE SUMMARY</t>
  </si>
  <si>
    <t>TOTAL RISKS</t>
  </si>
  <si>
    <t>CRITICAL</t>
  </si>
  <si>
    <t>HIGH</t>
  </si>
  <si>
    <t>MEDIUM</t>
  </si>
  <si>
    <t>LOW</t>
  </si>
  <si>
    <t>OPEN</t>
  </si>
  <si>
    <t>IN PROGRESS</t>
  </si>
  <si>
    <t>CLOSED/ACCEPT</t>
  </si>
  <si>
    <t>RISK TREATMENT PROGRESS</t>
  </si>
  <si>
    <t>CRITICAL Treated</t>
  </si>
  <si>
    <t>HIGH Treated</t>
  </si>
  <si>
    <t>ALARP Justified</t>
  </si>
  <si>
    <t>Overdue Actions</t>
  </si>
  <si>
    <t>ℹ  All metrics update automatically when risks are added or edited in the '📋 Risk Register' sheet.  ·  IEC 62443-2-1:2010 §4.2  ·  CSMS-RA-008</t>
  </si>
  <si>
    <t>Severity</t>
  </si>
  <si>
    <t>Count</t>
  </si>
  <si>
    <t>Status</t>
  </si>
  <si>
    <t>Zone</t>
  </si>
  <si>
    <t>Open</t>
  </si>
  <si>
    <t>Zone 1 (Corporate IT)</t>
  </si>
  <si>
    <t>In Progress</t>
  </si>
  <si>
    <t>Zone 2 (DCS/Control)</t>
  </si>
  <si>
    <t>Closed</t>
  </si>
  <si>
    <t>Zone 3 (Operations)</t>
  </si>
  <si>
    <t>Accepted</t>
  </si>
  <si>
    <t>Zone 4 (Field/Control)</t>
  </si>
  <si>
    <t>Deferred</t>
  </si>
  <si>
    <t>Zone 5 (Safety/SIS)</t>
  </si>
  <si>
    <t>Conduit</t>
  </si>
  <si>
    <t>Multiple</t>
  </si>
  <si>
    <t>IACS CYBER SECURITY RISK REGISTER    ·    CSMS-RA-008    ·    Stage 2 — Risk Analysis    ·    IEC 62443-2-1:2010 §4.2</t>
  </si>
  <si>
    <t>Facility: Sunrise Refinery / Pacific Gateway Port    |    CSMS Owner: OT Security Manager    |    Version: 3.0</t>
  </si>
  <si>
    <t>Risk ID</t>
  </si>
  <si>
    <t>Scenario Description</t>
  </si>
  <si>
    <t>Hazard Source</t>
  </si>
  <si>
    <t>Threat Actor</t>
  </si>
  <si>
    <t>Attack Vector</t>
  </si>
  <si>
    <t>Zone / Conduit</t>
  </si>
  <si>
    <t>Zone (Select)</t>
  </si>
  <si>
    <t>CJA Target</t>
  </si>
  <si>
    <t>Consequence Category</t>
  </si>
  <si>
    <t>Physical Consequence</t>
  </si>
  <si>
    <t>Consequence Score (C)</t>
  </si>
  <si>
    <t>Existing Controls</t>
  </si>
  <si>
    <t>Opportunity (1–4)</t>
  </si>
  <si>
    <t>Exploitability (1–4)</t>
  </si>
  <si>
    <t>Threat Capability</t>
  </si>
  <si>
    <t>Reference Class</t>
  </si>
  <si>
    <t>Likelihood Score (L)</t>
  </si>
  <si>
    <t>Risk Score (L×C)</t>
  </si>
  <si>
    <t>Risk Level (Auto)</t>
  </si>
  <si>
    <t>Severity (Auto)</t>
  </si>
  <si>
    <t>Evaluation Decision</t>
  </si>
  <si>
    <t>Treatment Status</t>
  </si>
  <si>
    <t>ALARP Justified?</t>
  </si>
  <si>
    <t>Target Date</t>
  </si>
  <si>
    <t>Treatment Owner</t>
  </si>
  <si>
    <t>Treatment Strategy</t>
  </si>
  <si>
    <t>Countermeasures</t>
  </si>
  <si>
    <t>SL-T (IEC 62443)</t>
  </si>
  <si>
    <t>FR Reference</t>
  </si>
  <si>
    <t>Residual Score</t>
  </si>
  <si>
    <t>Residual Level</t>
  </si>
  <si>
    <t>Risk Acceptance By</t>
  </si>
  <si>
    <t>Review Date</t>
  </si>
  <si>
    <t>Notes</t>
  </si>
  <si>
    <t>R-SR-001</t>
  </si>
  <si>
    <t>External attacker compromises vendor VPN (PSK, no MFA). Reaches Triconex SIS via shared DCS engineering workstation. Modifies SIS cause-and-effect matrix defeating Unit 3 ESD function.</t>
  </si>
  <si>
    <t>H-SR-002: Vendor VPN PSK; H-SR-010: Flat network — SIS reachable</t>
  </si>
  <si>
    <t>Organised Criminal / Nation-State</t>
  </si>
  <si>
    <t>Internet → VPN → OT Network → Engineering WS → SIS</t>
  </si>
  <si>
    <t>Conduit D (Vendor VPN) → Zone 2 → Zone 5</t>
  </si>
  <si>
    <t>Triconex Tricon SIS — Unit 3 ESD</t>
  </si>
  <si>
    <t>Safety/HSE</t>
  </si>
  <si>
    <t>ESD defeat → uncontrolled overpressure → BLEVE → Multiple fatalities</t>
  </si>
  <si>
    <t>None: No MFA on VPN; No SIS network isolation; No SIS access controls</t>
  </si>
  <si>
    <t>UNACCEPTABLE — Mandatory immediate treatment</t>
  </si>
  <si>
    <t>No</t>
  </si>
  <si>
    <t>2025-03-01</t>
  </si>
  <si>
    <t>OT Security Manager + OT Engineering</t>
  </si>
  <si>
    <t>Reduce</t>
  </si>
  <si>
    <t>(1) MFA on vendor VPN — FR1 SL-T3. (2) Physical SIS workstation isolation — IMMEDIATE. (3) PAM for vendor sessions — FR2 SL-T3. (4) Session recording — FR6 SL-T3.</t>
  </si>
  <si>
    <t>SL-T 3</t>
  </si>
  <si>
    <t>FR1, FR2, FR6</t>
  </si>
  <si>
    <t>Operations Director</t>
  </si>
  <si>
    <t>2025-06-01</t>
  </si>
  <si>
    <t>TRITON-class attack path. Immediate action: SIS workstation separation completed 2025-01-07. MFA in progress.</t>
  </si>
  <si>
    <t>R-SR-002</t>
  </si>
  <si>
    <t>DCS compromise via IT/OT lateral movement through SCADA historian pivot. Attacker modifies process setpoints on Unit 3 high-pressure distillation column.</t>
  </si>
  <si>
    <t>H-SR-001: Historian IT/OT bridge; H-SR-003: No industrial DMZ</t>
  </si>
  <si>
    <t>Organised Criminal (Ransomware Adjacency)</t>
  </si>
  <si>
    <t>Corporate IT → Historian bridge → DCS → Unit 3 setpoints</t>
  </si>
  <si>
    <t>Zone 1 → Zone 3 (no DMZ) → Zone 2</t>
  </si>
  <si>
    <t>Honeywell Experion DCS — Units 1, 2, 3</t>
  </si>
  <si>
    <t>Setpoint manipulation → reactor overpressure → VCE — potential fatalities</t>
  </si>
  <si>
    <t>Historian credentials (weak); No DMZ; DCS accounts shared</t>
  </si>
  <si>
    <t>UNACCEPTABLE — Mandatory treatment</t>
  </si>
  <si>
    <t>2025-04-01</t>
  </si>
  <si>
    <t>IT Security Manager + OT Engineering</t>
  </si>
  <si>
    <t>(1) Industrial DMZ deployment — FR5 SL-T3. (2) OT-IDS Zone 3/4 — FR6 SL-T3. (3) Historian authentication — FR1 SL-T2. (4) DCS account individual — FR2 SL-T2.</t>
  </si>
  <si>
    <t>FR1, FR2, FR5, FR6</t>
  </si>
  <si>
    <t>Colonial Pipeline / Oldsmar water model. Historian unauthenticated access confirmed passively (SR-PA-006).</t>
  </si>
  <si>
    <t>R-SR-003</t>
  </si>
  <si>
    <t>Compressor PLCs (12 units) exploited via CVE-2022-1159 (CVSS 9.8). Attacker modifies compressor speed setpoints or disables ESD relay logic.</t>
  </si>
  <si>
    <t>H-SR-005: CVE-2022-1159 applicable firmware 32.011</t>
  </si>
  <si>
    <t>Any actor with OT network access</t>
  </si>
  <si>
    <t>OT network → EtherNet/IP → ControlLogix firmware exploit</t>
  </si>
  <si>
    <t>Zone 4 (Control Network) — compressor subnet</t>
  </si>
  <si>
    <t>ControlLogix PLCs — 12× compressor units</t>
  </si>
  <si>
    <t>Compressor failure → hydrocarbon release → fire/explosion — CRITICAL injury risk</t>
  </si>
  <si>
    <t>None: CVE unpatched 8+ months; Default credentials on some PLCs</t>
  </si>
  <si>
    <t>UNACCEPTABLE — Emergency patch required</t>
  </si>
  <si>
    <t>2025-02-15</t>
  </si>
  <si>
    <t>OT Engineering + Vendor (Rockwell)</t>
  </si>
  <si>
    <t>(1) Emergency patch CVE-2022-1159 — coordinate maintenance windows — FR3 SL-T2. (2) PLC subnet isolation — FR5 SL-T2. (3) Default credential change — FR1 SL-T2. (4) OT monitoring on PLC subnet — FR6 SL-T2.</t>
  </si>
  <si>
    <t>SL-T 2</t>
  </si>
  <si>
    <t>FR1, FR3, FR5, FR6</t>
  </si>
  <si>
    <t>OT Security Manager</t>
  </si>
  <si>
    <t>CISA KEV catalog entry — active exploitation confirmed in energy sector. Passive fingerprint: firmware 32.011 confirmed via enip-info.</t>
  </si>
  <si>
    <t>R-SR-004</t>
  </si>
  <si>
    <t>Nation-state TRITON-class direct SIS attack. Adversary develops TriStation-aware malware to defeat Unit 3 SIS while keeping SIS apparently operational.</t>
  </si>
  <si>
    <t>H-SR-010: SIS accessible from engineering network; H-SR-002: VPN path</t>
  </si>
  <si>
    <t>Nation-State (XENOTIME capability)</t>
  </si>
  <si>
    <t>Supply chain / engineering network → TriStation protocol → SIS</t>
  </si>
  <si>
    <t>Zone 2 → Zone 5 (pre-remediation)</t>
  </si>
  <si>
    <t>SIS defeat with concealment → process upset → BLEVE — Multiple fatalities</t>
  </si>
  <si>
    <t>HIPPS (physical), PSVs (physical). No cyber controls on SIS.</t>
  </si>
  <si>
    <t>ALARP REQUIRED — nation-state capability; all practicable controls applied</t>
  </si>
  <si>
    <t>Yes</t>
  </si>
  <si>
    <t>Process Safety Manager + OT Security Manager</t>
  </si>
  <si>
    <t>(1) SIS workstation physical isolation — DONE. (2) SIS integrity monitoring via data diode — FR6 SL-T3. (3) Two-person integrity for SIS programme changes — FR2 SL-T3. (4) Vendor access separate MFA session — FR1 SL-T3.</t>
  </si>
  <si>
    <t>2025-12-01</t>
  </si>
  <si>
    <t>ALARP case: nation-state SL-T 3+ capability. All practicable controls implemented. Post-remediation LOPA: f(consequence) = 5×10⁻⁷ ≤ CFT 10⁻⁵.</t>
  </si>
  <si>
    <t>R-PGP-001</t>
  </si>
  <si>
    <t>Rogue 802.11p V2X beacon injected near terminal. IGV navigation processor accepts false position/route data. IGV directed into maintenance area — worker fatality.</t>
  </si>
  <si>
    <t>H-PGP-001: V2X 802.11p — no authentication (IEEE 1609.2 WAVE Security not implemented)</t>
  </si>
  <si>
    <t>Hacktivist / Insider / Organised Criminal</t>
  </si>
  <si>
    <t>Wireless RF → V2X beacon injection → IGV navigation processor</t>
  </si>
  <si>
    <t>Zone 4 (IGV Navigation) — V2X wireless</t>
  </si>
  <si>
    <t>IGV Navigation System — 24 IGVs</t>
  </si>
  <si>
    <t>Worker struck by 40-tonne IGV at 15 km/h — FATAL. Fleet-wide navigation corruption.</t>
  </si>
  <si>
    <t>Pedestrian exclusion zone (degraded), LiDAR obstacle detection (defeatable by spoofing), hard-wired E-stop</t>
  </si>
  <si>
    <t>2025-05-01</t>
  </si>
  <si>
    <t>OT Engineering + V2X Vendor</t>
  </si>
  <si>
    <t>(1) Implement IEEE 1609.2 WAVE Security (V2X authentication) — FR1 SL-T3. (2) Physical speed limiting in pedestrian zones — FR3 SL-T2. (3) MQTT TLS + HMAC — FR4 SL-T2. (4) FMS anomaly detection — FR6 SL-T2.</t>
  </si>
  <si>
    <t>FR1, FR3, FR4, FR6</t>
  </si>
  <si>
    <t>Chief Engineer — Pacific Gateway Port</t>
  </si>
  <si>
    <t>Pacific Gateway Port assessment finding T-01 (Score 16). Lab demonstration: rogue beacon accepted by test IGV navigation processor. TRITON analogy for safety system.</t>
  </si>
  <si>
    <t>R-PGP-002</t>
  </si>
  <si>
    <t>MQTT broker unauthenticated. Attacker subscribes to all IGV routing topics, injects false routing commands directing multiple IGVs simultaneously.</t>
  </si>
  <si>
    <t>H-PGP-002: MQTT plaintext — no TLS, no HMAC</t>
  </si>
  <si>
    <t>Any actor on FMS network segment</t>
  </si>
  <si>
    <t>FMS network → MQTT broker → IGV routing commands</t>
  </si>
  <si>
    <t>Zone 3 (Fleet Management) → Zone 4 (IGV Navigation)</t>
  </si>
  <si>
    <t>Fleet Management Server — MQTT Broker</t>
  </si>
  <si>
    <t>Fleet-wide IGV navigation corruption → multiple vehicle collisions → worker fatalities / infrastructure damage</t>
  </si>
  <si>
    <t>None: MQTT plaintext, no authentication, no integrity checking</t>
  </si>
  <si>
    <t>2025-04-15</t>
  </si>
  <si>
    <t>IT Security Manager + FMS Vendor</t>
  </si>
  <si>
    <t>(1) MQTT over TLS (port 8883) — FR4 SL-T2. (2) HMAC message integrity on all IGV commands — FR3 SL-T2. (3) Broker authentication (client certificates) — FR1 SL-T2. (4) FMS network segmentation from TOS — FR5 SL-T2.</t>
  </si>
  <si>
    <t>FR1, FR3, FR4, FR5</t>
  </si>
  <si>
    <t>Active assessment finding: MQTT unauthenticated subscribe confirmed. All 24 IGV routing topics visible without credentials.</t>
  </si>
  <si>
    <t>IEC 62443 RISK MATRIX — LIVE RISK HEAT MAP</t>
  </si>
  <si>
    <t>LIVE RISK COUNTS BY SEVERITY</t>
  </si>
  <si>
    <t>Likelihood Score (L) × Consequence Score (C) = Risk Score   ·   Auto-populated from Risk Register</t>
  </si>
  <si>
    <t>C=1
NEGLIGIBLE</t>
  </si>
  <si>
    <t>C=2
MARGINAL</t>
  </si>
  <si>
    <t>C=3
CRITICAL</t>
  </si>
  <si>
    <t>C=4
CATASTROPHIC</t>
  </si>
  <si>
    <t>Risk IDs in this cell</t>
  </si>
  <si>
    <t>L=4 HIGH</t>
  </si>
  <si>
    <t>L=3 MEDIUM-HIGH</t>
  </si>
  <si>
    <t>TOTAL</t>
  </si>
  <si>
    <t>L=2 MEDIUM-LOW</t>
  </si>
  <si>
    <t>L=1 LOW</t>
  </si>
  <si>
    <t>LEGEND</t>
  </si>
  <si>
    <t>CRITICAL (12–16)</t>
  </si>
  <si>
    <t>HIGH (6–11)</t>
  </si>
  <si>
    <t>MEDIUM (3–5)</t>
  </si>
  <si>
    <t>LOW (1–2)</t>
  </si>
  <si>
    <t>RISK TREATMENT TRACKER  —  Auto-linked from Risk Register  ·  CSMS-RA-008</t>
  </si>
  <si>
    <t>Scenario (Short)</t>
  </si>
  <si>
    <t>Treatment
Strategy</t>
  </si>
  <si>
    <t>Days Remaining</t>
  </si>
  <si>
    <t>ALARP?</t>
  </si>
  <si>
    <t>Countermeasures (Summary)</t>
  </si>
  <si>
    <t>TREATMENT SUMMARY — auto-calculated from register above</t>
  </si>
  <si>
    <t>Overdue</t>
  </si>
  <si>
    <t>% Complete</t>
  </si>
  <si>
    <t>IACS CYBER SECURITY RISK REGISTER — USER GUIDE</t>
  </si>
  <si>
    <t>HOW TO USE THIS WORKBOOK</t>
  </si>
  <si>
    <t>Step 1 — Add new risks</t>
  </si>
  <si>
    <t>Navigate to '📋 Risk Register'. Enter data in columns A through P (Risk ID through Reference Class). The Likelihood Score (Q), Risk Score (R), Severity (S/T), and Residual Level (AE) calculate automatically.</t>
  </si>
  <si>
    <t>Step 2 — Select from dropdowns</t>
  </si>
  <si>
    <t>Columns G (Zone), I (Consequence Category), M–P (Scores 1–4), V (Status), W (ALARP), Z (Strategy), AB (SL-T) all have dropdown validation. Click the cell to see the dropdown arrow.</t>
  </si>
  <si>
    <t>Step 3 — Update treatment status</t>
  </si>
  <si>
    <t>When you complete a countermeasure, update column V (Treatment Status) from 'Open' → 'In Progress' → 'Closed'. All dashboards update automatically.</t>
  </si>
  <si>
    <t>Step 4 — Review the dashboard</t>
  </si>
  <si>
    <t>The '📊 Dashboard' sheet shows live counts, KPIs, and charts. All values pull directly from the Risk Register. Refresh: press Ctrl+Alt+F9 to force recalculation.</t>
  </si>
  <si>
    <t>Step 5 — Check the treatment tracker</t>
  </si>
  <si>
    <t>The '🔧 Treatment Tracker' shows overdue actions (highlighted red), days remaining, and completion percentage. Update target dates in the Risk Register — the tracker updates automatically.</t>
  </si>
  <si>
    <t>Step 6 — Risk Matrix</t>
  </si>
  <si>
    <t>The '🎯 Risk Matrix' shows which Risk IDs sit in each cell of the IEC 62443 4×4 matrix. As you add risks, they appear automatically in the correct cell.</t>
  </si>
  <si>
    <t>RISK SCORING GUIDE</t>
  </si>
  <si>
    <t>1 = NEGLIGIBLE (nuisance only)
2 = MARGINAL (limited production impact)
3 = CRITICAL (major operational/environmental impact)
4 = CATASTROPHIC (fatalities possible / major release)</t>
  </si>
  <si>
    <t>Likelihood Inputs (1–4 each)</t>
  </si>
  <si>
    <t>Opportunity: 1=Minimal, 2=Limited, 3=Significant, 4=Extensive
Exploitability: 1=Very difficult, 2=Difficult, 3=Moderate, 4=Easy
Threat Capability: 1=Low, 2=Medium, 3=High, 4=Very High
Reference Class: 1=No precedent, 2=Rare, 3=Sector incidents, 4=Active exploitation</t>
  </si>
  <si>
    <t>Risk Score = L × C</t>
  </si>
  <si>
    <t>Likelihood Score = ROUND(AVG(Opp, Exploit, ThreatCap, RefClass), 0)
Risk Score = Likelihood × Consequence
CRITICAL: 12–16 | HIGH: 6–11 | MEDIUM: 3–5 | LOW: 1–2</t>
  </si>
  <si>
    <t>REGULATORY REFERENCES</t>
  </si>
  <si>
    <t>IEC 62443-2-1:2010 §4.2</t>
  </si>
  <si>
    <t>Risk Analysis — this register is the primary output of §4.2.3 (threat and vulnerability assessment) and §4.2.3.10 (risk register maintenance SHALL requirement).</t>
  </si>
  <si>
    <t>IEC 62443-2-1:2010 §4.2.3.6.5</t>
  </si>
  <si>
    <t>Risk Tolerance Criteria (SHALL): criteria must be established before the risk assessment begins. Document risk tolerance thresholds in the register header.</t>
  </si>
  <si>
    <t>IEC 62443-2-1:2010 §4.2.3.13</t>
  </si>
  <si>
    <t>Risk Register (SHALL): must be maintained, reviewed at defined intervals, and updated on trigger events (architecture change, new CVE, post-incident).</t>
  </si>
  <si>
    <t>ALARP (UK HSE / R2P2 2001)</t>
  </si>
  <si>
    <t>Risks in the ALARP zone (HIGH) must have documented justification that all practicable controls have been implemented. Record in column W and document the ALARP case in the Notes column.</t>
  </si>
  <si>
    <t>REASSESSMENT TRIGGERS</t>
  </si>
  <si>
    <t>Architecture changes</t>
  </si>
  <si>
    <t>Any change to OT network connectivity, new systems, or changed vendor access requires re-assessment of affected risk entries.</t>
  </si>
  <si>
    <t>New vulnerability / ICS-CERT advisory</t>
  </si>
  <si>
    <t>Any ICS-CERT advisory for a deployed technology requires immediate likelihood re-assessment for affected entries.</t>
  </si>
  <si>
    <t>Security incident (this or peer facility)</t>
  </si>
  <si>
    <t>Any OT security incident at this facility or a directly comparable facility triggers full risk register review.</t>
  </si>
  <si>
    <t>Regulatory change</t>
  </si>
  <si>
    <t>Any change to applicable regulatory requirements triggers compliance mapping review.</t>
  </si>
  <si>
    <t>Annual review (minimum)</t>
  </si>
  <si>
    <t>Complete risk register review at minimum annually. More frequent for CRITICAL risks.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</si>
</sst>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&quot; days&quot;"/>
  </numFmts>
  <fonts count="26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i/>
      <sz val="10"/>
      <color rgb="FFFFFFFF"/>
      <name val="Arial"/>
      <family val="2"/>
    </font>
    <font>
      <b/>
      <sz val="11"/>
      <color rgb="FF1F3864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22"/>
      <color rgb="FFFFFFFF"/>
      <name val="Arial"/>
      <family val="2"/>
    </font>
    <font>
      <b/>
      <sz val="22"/>
      <color rgb="FF000000"/>
      <name val="Arial"/>
      <family val="2"/>
    </font>
    <font>
      <b/>
      <sz val="8"/>
      <color rgb="FFFFFFFF"/>
      <name val="Arial"/>
      <family val="2"/>
    </font>
    <font>
      <i/>
      <sz val="8"/>
      <color rgb="FF595959"/>
      <name val="Arial"/>
      <family val="2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sz val="8"/>
      <name val="Arial"/>
      <family val="2"/>
    </font>
    <font>
      <b/>
      <sz val="9"/>
      <color rgb="FF1F3864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8"/>
      <color rgb="FF000000"/>
      <name val="Arial"/>
      <family val="2"/>
    </font>
    <font>
      <b/>
      <sz val="9"/>
      <color rgb="FF375623"/>
      <name val="Arial"/>
      <family val="2"/>
    </font>
    <font>
      <b/>
      <sz val="14"/>
      <color rgb="FF1F3864"/>
      <name val="Arial"/>
      <family val="2"/>
    </font>
    <font>
      <sz val="9"/>
      <color rgb="FF000000"/>
      <name val="Arial"/>
      <family val="2"/>
    </font>
    <font>
      <b/>
      <sz val="9"/>
      <color rgb="FF006666"/>
      <name val="Arial"/>
      <family val="2"/>
    </font>
    <font>
      <b/>
      <sz val="9"/>
      <color rgb="FF7F6000"/>
      <name val="Arial"/>
      <family val="2"/>
    </font>
    <font>
      <b/>
      <sz val="9"/>
      <color rgb="FFC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1F497D"/>
      </patternFill>
    </fill>
    <fill>
      <patternFill patternType="solid">
        <fgColor rgb="FF006666"/>
        <bgColor rgb="FF008080"/>
      </patternFill>
    </fill>
    <fill>
      <patternFill patternType="solid">
        <fgColor rgb="FFDCE6F1"/>
        <bgColor rgb="FFDAEEF3"/>
      </patternFill>
    </fill>
    <fill>
      <patternFill patternType="solid">
        <fgColor rgb="FFC00000"/>
        <bgColor rgb="FFFF0000"/>
      </patternFill>
    </fill>
    <fill>
      <patternFill patternType="solid">
        <fgColor rgb="FFC55A11"/>
        <bgColor rgb="FFC0504D"/>
      </patternFill>
    </fill>
    <fill>
      <patternFill patternType="solid">
        <fgColor rgb="FFFFB900"/>
        <bgColor rgb="FFFF9900"/>
      </patternFill>
    </fill>
    <fill>
      <patternFill patternType="solid">
        <fgColor rgb="FF375623"/>
        <bgColor rgb="FF595959"/>
      </patternFill>
    </fill>
    <fill>
      <patternFill patternType="solid">
        <fgColor rgb="FFF2F2F2"/>
        <bgColor rgb="FFF0F8F0"/>
      </patternFill>
    </fill>
    <fill>
      <patternFill patternType="solid">
        <fgColor rgb="FF1F497D"/>
        <bgColor rgb="FF2F5496"/>
      </patternFill>
    </fill>
    <fill>
      <patternFill patternType="solid">
        <fgColor rgb="FF2F5496"/>
        <bgColor rgb="FF1F497D"/>
      </patternFill>
    </fill>
    <fill>
      <patternFill patternType="solid">
        <fgColor rgb="FF7F6000"/>
        <bgColor rgb="FF595959"/>
      </patternFill>
    </fill>
    <fill>
      <patternFill patternType="solid">
        <fgColor rgb="FFF7FBFF"/>
        <bgColor rgb="FFF9F9F9"/>
      </patternFill>
    </fill>
    <fill>
      <patternFill patternType="solid">
        <fgColor rgb="FFF0F8F0"/>
        <bgColor rgb="FFF2F2F2"/>
      </patternFill>
    </fill>
    <fill>
      <patternFill patternType="solid">
        <fgColor rgb="FFDAEEF3"/>
        <bgColor rgb="FFDCE6F1"/>
      </patternFill>
    </fill>
    <fill>
      <patternFill patternType="solid">
        <fgColor rgb="FFFFF2CC"/>
        <bgColor rgb="FFFCE4D6"/>
      </patternFill>
    </fill>
    <fill>
      <patternFill patternType="solid">
        <fgColor rgb="FFFFD7D7"/>
        <bgColor rgb="FFFCE4D6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 style="thin">
        <color rgb="FFAAAAAA"/>
      </right>
      <top/>
      <bottom style="medium">
        <color rgb="FFFFFFFF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4" fillId="5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vertical="top" wrapText="1"/>
    </xf>
    <xf numFmtId="0" fontId="13" fillId="0" borderId="0" xfId="0" applyFont="1" applyAlignment="1">
      <alignment horizontal="center" vertical="center"/>
    </xf>
    <xf numFmtId="164" fontId="12" fillId="0" borderId="4" xfId="0" applyNumberFormat="1" applyFont="1" applyBorder="1" applyAlignment="1">
      <alignment vertical="top" wrapText="1"/>
    </xf>
    <xf numFmtId="0" fontId="12" fillId="13" borderId="4" xfId="0" applyFont="1" applyFill="1" applyBorder="1" applyAlignment="1">
      <alignment vertical="top" wrapText="1"/>
    </xf>
    <xf numFmtId="164" fontId="12" fillId="13" borderId="4" xfId="0" applyNumberFormat="1" applyFont="1" applyFill="1" applyBorder="1" applyAlignment="1">
      <alignment vertical="top" wrapText="1"/>
    </xf>
    <xf numFmtId="0" fontId="17" fillId="5" borderId="0" xfId="0" applyFont="1" applyFill="1" applyAlignment="1">
      <alignment horizontal="right" vertical="center"/>
    </xf>
    <xf numFmtId="0" fontId="17" fillId="6" borderId="0" xfId="0" applyFont="1" applyFill="1" applyAlignment="1">
      <alignment horizontal="right" vertical="center"/>
    </xf>
    <xf numFmtId="0" fontId="0" fillId="2" borderId="0" xfId="0" applyFill="1"/>
    <xf numFmtId="0" fontId="4" fillId="2" borderId="0" xfId="0" applyFont="1" applyFill="1" applyAlignment="1">
      <alignment horizontal="center" vertical="center" wrapText="1"/>
    </xf>
    <xf numFmtId="0" fontId="9" fillId="0" borderId="0" xfId="0" applyFont="1"/>
    <xf numFmtId="0" fontId="18" fillId="7" borderId="0" xfId="0" applyFont="1" applyFill="1" applyAlignment="1">
      <alignment horizontal="right" vertical="center"/>
    </xf>
    <xf numFmtId="0" fontId="8" fillId="8" borderId="5" xfId="0" applyFont="1" applyFill="1" applyBorder="1" applyAlignment="1">
      <alignment horizontal="center" vertical="center" wrapText="1"/>
    </xf>
    <xf numFmtId="0" fontId="8" fillId="12" borderId="5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17" fillId="8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0" fontId="8" fillId="5" borderId="5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top"/>
    </xf>
    <xf numFmtId="0" fontId="12" fillId="0" borderId="7" xfId="0" applyFont="1" applyBorder="1" applyAlignment="1">
      <alignment vertical="top" wrapText="1"/>
    </xf>
    <xf numFmtId="164" fontId="12" fillId="0" borderId="7" xfId="0" applyNumberFormat="1" applyFont="1" applyBorder="1" applyAlignment="1">
      <alignment vertical="top" wrapText="1"/>
    </xf>
    <xf numFmtId="165" fontId="12" fillId="0" borderId="7" xfId="0" applyNumberFormat="1" applyFont="1" applyBorder="1" applyAlignment="1">
      <alignment vertical="top" wrapText="1"/>
    </xf>
    <xf numFmtId="0" fontId="13" fillId="14" borderId="0" xfId="0" applyFont="1" applyFill="1" applyAlignment="1">
      <alignment horizontal="center" vertical="top"/>
    </xf>
    <xf numFmtId="0" fontId="12" fillId="14" borderId="7" xfId="0" applyFont="1" applyFill="1" applyBorder="1" applyAlignment="1">
      <alignment vertical="top" wrapText="1"/>
    </xf>
    <xf numFmtId="164" fontId="12" fillId="14" borderId="7" xfId="0" applyNumberFormat="1" applyFont="1" applyFill="1" applyBorder="1" applyAlignment="1">
      <alignment vertical="top" wrapText="1"/>
    </xf>
    <xf numFmtId="165" fontId="12" fillId="14" borderId="7" xfId="0" applyNumberFormat="1" applyFont="1" applyFill="1" applyBorder="1" applyAlignment="1">
      <alignment vertical="top" wrapText="1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13" fillId="4" borderId="7" xfId="0" applyFont="1" applyFill="1" applyBorder="1" applyAlignment="1">
      <alignment horizontal="left" vertical="top" wrapText="1"/>
    </xf>
    <xf numFmtId="0" fontId="22" fillId="4" borderId="7" xfId="0" applyFont="1" applyFill="1" applyBorder="1" applyAlignment="1">
      <alignment horizontal="left" vertical="top" wrapText="1"/>
    </xf>
    <xf numFmtId="0" fontId="23" fillId="15" borderId="7" xfId="0" applyFont="1" applyFill="1" applyBorder="1" applyAlignment="1">
      <alignment horizontal="left" vertical="top" wrapText="1"/>
    </xf>
    <xf numFmtId="0" fontId="22" fillId="15" borderId="7" xfId="0" applyFont="1" applyFill="1" applyBorder="1" applyAlignment="1">
      <alignment horizontal="left" vertical="top" wrapText="1"/>
    </xf>
    <xf numFmtId="0" fontId="24" fillId="16" borderId="7" xfId="0" applyFont="1" applyFill="1" applyBorder="1" applyAlignment="1">
      <alignment horizontal="left" vertical="top" wrapText="1"/>
    </xf>
    <xf numFmtId="0" fontId="22" fillId="16" borderId="7" xfId="0" applyFont="1" applyFill="1" applyBorder="1" applyAlignment="1">
      <alignment horizontal="left" vertical="top" wrapText="1"/>
    </xf>
    <xf numFmtId="0" fontId="25" fillId="17" borderId="7" xfId="0" applyFont="1" applyFill="1" applyBorder="1" applyAlignment="1">
      <alignment horizontal="left" vertical="top" wrapText="1"/>
    </xf>
    <xf numFmtId="0" fontId="22" fillId="17" borderId="7" xfId="0" applyFont="1" applyFill="1" applyBorder="1" applyAlignment="1">
      <alignment horizontal="left" vertical="top" wrapText="1"/>
    </xf>
    <xf numFmtId="0" fontId="5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left" vertical="center"/>
    </xf>
  </cellXfs>
  <cellStyles count="1">
    <cellStyle name="Normal" xfId="0" builtinId="0"/>
  </cellStyles>
  <dxfs count="23">
    <dxf>
      <font>
        <b/>
        <color rgb="FFC00000"/>
      </font>
      <fill>
        <patternFill>
          <bgColor rgb="FFFFD7D7"/>
        </patternFill>
      </fill>
    </dxf>
    <dxf>
      <fill>
        <patternFill>
          <bgColor rgb="FFDCE6F1"/>
        </patternFill>
      </fill>
    </dxf>
    <dxf>
      <fill>
        <patternFill>
          <bgColor rgb="FFEBF1DE"/>
        </patternFill>
      </fill>
    </dxf>
    <dxf>
      <fill>
        <patternFill>
          <bgColor rgb="FFFFF2CC"/>
        </patternFill>
      </fill>
    </dxf>
    <dxf>
      <fill>
        <patternFill>
          <bgColor rgb="FFFFD7D7"/>
        </patternFill>
      </fill>
    </dxf>
    <dxf>
      <font>
        <b/>
        <sz val="9"/>
        <color rgb="FF375623"/>
        <name val="Arial"/>
        <charset val="1"/>
      </font>
      <fill>
        <patternFill>
          <bgColor rgb="FFEBF1DE"/>
        </patternFill>
      </fill>
    </dxf>
    <dxf>
      <font>
        <b/>
        <sz val="9"/>
        <color rgb="FF7F6000"/>
        <name val="Arial"/>
        <charset val="1"/>
      </font>
      <fill>
        <patternFill>
          <bgColor rgb="FFFFF2CC"/>
        </patternFill>
      </fill>
    </dxf>
    <dxf>
      <font>
        <b/>
        <sz val="9"/>
        <color rgb="FFC55A11"/>
        <name val="Arial"/>
        <charset val="1"/>
      </font>
      <fill>
        <patternFill>
          <bgColor rgb="FFFCE4D6"/>
        </patternFill>
      </fill>
    </dxf>
    <dxf>
      <font>
        <b/>
        <sz val="9"/>
        <color rgb="FFC00000"/>
        <name val="Arial"/>
        <charset val="1"/>
      </font>
      <fill>
        <patternFill>
          <bgColor rgb="FFFFD7D7"/>
        </patternFill>
      </fill>
    </dxf>
    <dxf>
      <font>
        <b/>
        <sz val="9"/>
        <color rgb="FF375623"/>
        <name val="Arial"/>
        <charset val="1"/>
      </font>
      <fill>
        <patternFill>
          <bgColor rgb="FFEBF1DE"/>
        </patternFill>
      </fill>
    </dxf>
    <dxf>
      <font>
        <b/>
        <sz val="9"/>
        <color rgb="FF7F6000"/>
        <name val="Arial"/>
        <charset val="1"/>
      </font>
      <fill>
        <patternFill>
          <bgColor rgb="FFFFF2CC"/>
        </patternFill>
      </fill>
    </dxf>
    <dxf>
      <font>
        <b/>
        <sz val="9"/>
        <color rgb="FFC55A11"/>
        <name val="Arial"/>
        <charset val="1"/>
      </font>
      <fill>
        <patternFill>
          <bgColor rgb="FFFCE4D6"/>
        </patternFill>
      </fill>
    </dxf>
    <dxf>
      <font>
        <b/>
        <sz val="9"/>
        <color rgb="FFC00000"/>
        <name val="Arial"/>
        <charset val="1"/>
      </font>
      <fill>
        <patternFill>
          <bgColor rgb="FFFFD7D7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2F2F2"/>
        </patternFill>
      </fill>
    </dxf>
    <dxf>
      <fill>
        <patternFill>
          <bgColor rgb="FFDCE6F1"/>
        </patternFill>
      </fill>
    </dxf>
    <dxf>
      <fill>
        <patternFill>
          <bgColor rgb="FFEBF1DE"/>
        </patternFill>
      </fill>
    </dxf>
    <dxf>
      <fill>
        <patternFill>
          <bgColor rgb="FFFFF2CC"/>
        </patternFill>
      </fill>
    </dxf>
    <dxf>
      <fill>
        <patternFill>
          <bgColor rgb="FFFFD7D7"/>
        </patternFill>
      </fill>
    </dxf>
    <dxf>
      <font>
        <b/>
        <sz val="9"/>
        <color rgb="FF375623"/>
        <name val="Arial"/>
        <charset val="1"/>
      </font>
      <fill>
        <patternFill>
          <bgColor rgb="FFEBF1DE"/>
        </patternFill>
      </fill>
    </dxf>
    <dxf>
      <font>
        <b/>
        <sz val="9"/>
        <color rgb="FF7F6000"/>
        <name val="Arial"/>
        <charset val="1"/>
      </font>
      <fill>
        <patternFill>
          <bgColor rgb="FFFFF2CC"/>
        </patternFill>
      </fill>
    </dxf>
    <dxf>
      <font>
        <b/>
        <sz val="9"/>
        <color rgb="FFC55A11"/>
        <name val="Arial"/>
        <charset val="1"/>
      </font>
      <fill>
        <patternFill>
          <bgColor rgb="FFFCE4D6"/>
        </patternFill>
      </fill>
    </dxf>
    <dxf>
      <font>
        <b/>
        <sz val="9"/>
        <color rgb="FFC00000"/>
        <name val="Arial"/>
        <charset val="1"/>
      </font>
      <fill>
        <patternFill>
          <bgColor rgb="FFFFD7D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7FBFF"/>
      <rgbColor rgb="FFFF00FF"/>
      <rgbColor rgb="FF00FFFF"/>
      <rgbColor rgb="FFC00000"/>
      <rgbColor rgb="FF008000"/>
      <rgbColor rgb="FF000080"/>
      <rgbColor rgb="FF7F6000"/>
      <rgbColor rgb="FF800080"/>
      <rgbColor rgb="FF006666"/>
      <rgbColor rgb="FFDDDDDD"/>
      <rgbColor rgb="FF878787"/>
      <rgbColor rgb="FF9999FF"/>
      <rgbColor rgb="FFC0504D"/>
      <rgbColor rgb="FFFFF2CC"/>
      <rgbColor rgb="FFDAEEF3"/>
      <rgbColor rgb="FF660066"/>
      <rgbColor rgb="FFFF8080"/>
      <rgbColor rgb="FF2F549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8F0"/>
      <rgbColor rgb="FFEBF1DE"/>
      <rgbColor rgb="FFFCE4D6"/>
      <rgbColor rgb="FFDCE6F1"/>
      <rgbColor rgb="FFF2F2F2"/>
      <rgbColor rgb="FFF9F9F9"/>
      <rgbColor rgb="FFFFD7D7"/>
      <rgbColor rgb="FF4F81BD"/>
      <rgbColor rgb="FF33CCCC"/>
      <rgbColor rgb="FF9BBB59"/>
      <rgbColor rgb="FFFFB900"/>
      <rgbColor rgb="FFFF9900"/>
      <rgbColor rgb="FFC55A11"/>
      <rgbColor rgb="FF8064A2"/>
      <rgbColor rgb="FFAAAAAA"/>
      <rgbColor rgb="FF1F3864"/>
      <rgbColor rgb="FF339966"/>
      <rgbColor rgb="FF003300"/>
      <rgbColor rgb="FF333300"/>
      <rgbColor rgb="FF993300"/>
      <rgbColor rgb="FF595959"/>
      <rgbColor rgb="FF1F497D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Risk Distribution by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'📊 Dashboard'!$B$50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20F2-6B4F-BCDD-CAF8B18F11F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20F2-6B4F-BCDD-CAF8B18F11F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20F2-6B4F-BCDD-CAF8B18F11F8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20F2-6B4F-BCDD-CAF8B18F11F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20F2-6B4F-BCDD-CAF8B18F11F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20F2-6B4F-BCDD-CAF8B18F11F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20F2-6B4F-BCDD-CAF8B18F11F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20F2-6B4F-BCDD-CAF8B18F11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Dashboard'!$A$51:$A$54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'📊 Dashboard'!$B$51:$B$54</c:f>
              <c:numCache>
                <c:formatCode>General</c:formatCode>
                <c:ptCount val="4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F2-6B4F-BCDD-CAF8B18F1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Risk Treatment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Dashboard'!$D$50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Dashboard'!$C$51:$C$55</c:f>
              <c:strCache>
                <c:ptCount val="5"/>
                <c:pt idx="0">
                  <c:v>Open</c:v>
                </c:pt>
                <c:pt idx="1">
                  <c:v>In Progress</c:v>
                </c:pt>
                <c:pt idx="2">
                  <c:v>Closed</c:v>
                </c:pt>
                <c:pt idx="3">
                  <c:v>Accepted</c:v>
                </c:pt>
                <c:pt idx="4">
                  <c:v>Deferred</c:v>
                </c:pt>
              </c:strCache>
            </c:strRef>
          </c:cat>
          <c:val>
            <c:numRef>
              <c:f>'📊 Dashboard'!$D$51:$D$55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F-AF44-AE2D-B51A3F258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107020"/>
        <c:axId val="98447021"/>
      </c:barChart>
      <c:catAx>
        <c:axId val="691070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447021"/>
        <c:crosses val="autoZero"/>
        <c:auto val="1"/>
        <c:lblAlgn val="ctr"/>
        <c:lblOffset val="100"/>
        <c:noMultiLvlLbl val="0"/>
      </c:catAx>
      <c:valAx>
        <c:axId val="984470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1070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18</xdr:row>
      <xdr:rowOff>165100</xdr:rowOff>
    </xdr:from>
    <xdr:to>
      <xdr:col>4</xdr:col>
      <xdr:colOff>949060</xdr:colOff>
      <xdr:row>37</xdr:row>
      <xdr:rowOff>107080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63500</xdr:colOff>
      <xdr:row>19</xdr:row>
      <xdr:rowOff>38100</xdr:rowOff>
    </xdr:from>
    <xdr:to>
      <xdr:col>9</xdr:col>
      <xdr:colOff>1168400</xdr:colOff>
      <xdr:row>44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J57"/>
  <sheetViews>
    <sheetView showGridLines="0" tabSelected="1" topLeftCell="A21" zoomScaleNormal="100" workbookViewId="0">
      <selection activeCell="B13" sqref="B13:J13"/>
    </sheetView>
  </sheetViews>
  <sheetFormatPr baseColWidth="10" defaultColWidth="8.6640625" defaultRowHeight="15" x14ac:dyDescent="0.2"/>
  <cols>
    <col min="1" max="1" width="2" customWidth="1"/>
    <col min="2" max="8" width="16" customWidth="1"/>
    <col min="9" max="9" width="21.33203125" customWidth="1"/>
    <col min="10" max="10" width="16" customWidth="1"/>
    <col min="11" max="11" width="2" customWidth="1"/>
  </cols>
  <sheetData>
    <row r="1" spans="2:10" ht="49.5" customHeight="1" x14ac:dyDescent="0.2">
      <c r="B1" s="14" t="s">
        <v>0</v>
      </c>
      <c r="C1" s="14"/>
      <c r="D1" s="14"/>
      <c r="E1" s="14"/>
      <c r="F1" s="14"/>
      <c r="G1" s="14"/>
      <c r="H1" s="14"/>
      <c r="I1" s="14"/>
      <c r="J1" s="14"/>
    </row>
    <row r="2" spans="2:10" ht="18" customHeight="1" x14ac:dyDescent="0.2">
      <c r="B2" s="13" t="s">
        <v>1</v>
      </c>
      <c r="C2" s="13"/>
      <c r="D2" s="13"/>
      <c r="E2" s="13"/>
      <c r="F2" s="12" t="str">
        <f ca="1">TEXT(TODAY(),"DD MMM YYYY")</f>
        <v>12 May 2026</v>
      </c>
      <c r="G2" s="12"/>
      <c r="H2" s="12"/>
      <c r="I2" s="12"/>
      <c r="J2" s="12"/>
    </row>
    <row r="3" spans="2:10" ht="7.5" customHeight="1" x14ac:dyDescent="0.2"/>
    <row r="4" spans="2:10" ht="21.75" customHeight="1" x14ac:dyDescent="0.2">
      <c r="B4" s="11" t="s">
        <v>2</v>
      </c>
      <c r="C4" s="11"/>
      <c r="D4" s="11"/>
      <c r="E4" s="11"/>
      <c r="F4" s="11"/>
      <c r="G4" s="11"/>
      <c r="H4" s="11"/>
      <c r="I4" s="11"/>
      <c r="J4" s="11"/>
    </row>
    <row r="5" spans="2:10" ht="18" customHeight="1" x14ac:dyDescent="0.2">
      <c r="B5" s="10" t="s">
        <v>3</v>
      </c>
      <c r="C5" s="10"/>
      <c r="D5" s="9" t="s">
        <v>4</v>
      </c>
      <c r="E5" s="9"/>
      <c r="F5" s="8" t="s">
        <v>5</v>
      </c>
      <c r="G5" s="8"/>
      <c r="H5" s="7" t="s">
        <v>6</v>
      </c>
      <c r="I5" s="7"/>
    </row>
    <row r="6" spans="2:10" ht="36" customHeight="1" x14ac:dyDescent="0.2">
      <c r="B6" s="6">
        <f>COUNTA('📋 Risk Register'!A2:A500)-COUNTBLANK('📋 Risk Register'!A2:A500)</f>
        <v>-483</v>
      </c>
      <c r="C6" s="6"/>
      <c r="D6" s="5">
        <f>COUNTIF('📋 Risk Register'!T2:T500,"CRITICAL")</f>
        <v>6</v>
      </c>
      <c r="E6" s="5"/>
      <c r="F6" s="4">
        <f>COUNTIF('📋 Risk Register'!T2:T500,"HIGH")</f>
        <v>0</v>
      </c>
      <c r="G6" s="4"/>
      <c r="H6" s="3">
        <f>COUNTIF('📋 Risk Register'!T2:T500,"MEDIUM")</f>
        <v>0</v>
      </c>
      <c r="I6" s="3"/>
    </row>
    <row r="7" spans="2:10" ht="21.75" customHeight="1" x14ac:dyDescent="0.2">
      <c r="B7" s="6"/>
      <c r="C7" s="6"/>
      <c r="D7" s="5"/>
      <c r="E7" s="5"/>
      <c r="F7" s="4"/>
      <c r="G7" s="4"/>
      <c r="H7" s="3"/>
      <c r="I7" s="3"/>
    </row>
    <row r="8" spans="2:10" ht="9.75" customHeight="1" x14ac:dyDescent="0.2"/>
    <row r="9" spans="2:10" ht="18" customHeight="1" x14ac:dyDescent="0.2">
      <c r="B9" s="2" t="s">
        <v>7</v>
      </c>
      <c r="C9" s="2"/>
      <c r="D9" s="1" t="s">
        <v>8</v>
      </c>
      <c r="E9" s="1"/>
      <c r="F9" s="61" t="s">
        <v>9</v>
      </c>
      <c r="G9" s="61"/>
      <c r="H9" s="2" t="s">
        <v>10</v>
      </c>
      <c r="I9" s="2"/>
    </row>
    <row r="10" spans="2:10" ht="36" customHeight="1" x14ac:dyDescent="0.2">
      <c r="B10" s="62">
        <f>COUNTIF('📋 Risk Register'!T2:T500,"LOW")</f>
        <v>0</v>
      </c>
      <c r="C10" s="62"/>
      <c r="D10" s="5">
        <f>COUNTIF('📋 Risk Register'!V2:V500,"Open")</f>
        <v>2</v>
      </c>
      <c r="E10" s="5"/>
      <c r="F10" s="3">
        <f>COUNTIF('📋 Risk Register'!V2:V500,"In Progress")</f>
        <v>4</v>
      </c>
      <c r="G10" s="3"/>
      <c r="H10" s="62">
        <f>COUNTIF('📋 Risk Register'!V2:V500,"Closed")+COUNTIF('📋 Risk Register'!V2:V500,"Accepted")</f>
        <v>0</v>
      </c>
      <c r="I10" s="62"/>
    </row>
    <row r="11" spans="2:10" ht="21.75" customHeight="1" x14ac:dyDescent="0.2">
      <c r="B11" s="62"/>
      <c r="C11" s="62"/>
      <c r="D11" s="5"/>
      <c r="E11" s="5"/>
      <c r="F11" s="3"/>
      <c r="G11" s="3"/>
      <c r="H11" s="62"/>
      <c r="I11" s="62"/>
    </row>
    <row r="12" spans="2:10" ht="12" customHeight="1" x14ac:dyDescent="0.2"/>
    <row r="13" spans="2:10" ht="21.75" customHeight="1" x14ac:dyDescent="0.2">
      <c r="B13" s="11" t="s">
        <v>11</v>
      </c>
      <c r="C13" s="11"/>
      <c r="D13" s="11"/>
      <c r="E13" s="11"/>
      <c r="F13" s="11"/>
      <c r="G13" s="11"/>
      <c r="H13" s="11"/>
      <c r="I13" s="11"/>
      <c r="J13" s="11"/>
    </row>
    <row r="14" spans="2:10" ht="18" customHeight="1" x14ac:dyDescent="0.2">
      <c r="B14" s="63" t="s">
        <v>12</v>
      </c>
      <c r="C14" s="63"/>
      <c r="D14" s="64" t="s">
        <v>13</v>
      </c>
      <c r="E14" s="64"/>
      <c r="F14" s="65" t="s">
        <v>14</v>
      </c>
      <c r="G14" s="65"/>
      <c r="H14" s="63" t="s">
        <v>15</v>
      </c>
      <c r="I14" s="63"/>
    </row>
    <row r="15" spans="2:10" ht="31.5" customHeight="1" x14ac:dyDescent="0.2">
      <c r="B15" s="66" t="str">
        <f>IF(COUNTIF('📋 Risk Register'!T2:T500,"CRITICAL")=0,"N/A",TEXT(COUNTIFS('📋 Risk Register'!T2:T500,"CRITICAL",'📋 Risk Register'!V2:V500,"Closed")/COUNTIF('📋 Risk Register'!T2:T500,"CRITICAL"),"0%"))</f>
        <v>0%</v>
      </c>
      <c r="C15" s="66"/>
      <c r="D15" s="67" t="str">
        <f>IF(COUNTIF('📋 Risk Register'!T2:T500,"HIGH")=0,"N/A",TEXT(COUNTIFS('📋 Risk Register'!T2:T500,"HIGH",'📋 Risk Register'!V2:V500,"Closed")/COUNTIF('📋 Risk Register'!T2:T500,"HIGH"),"0%"))</f>
        <v>N/A</v>
      </c>
      <c r="E15" s="67"/>
      <c r="F15" s="68">
        <f>COUNTIF('📋 Risk Register'!W2:W500,"Yes")</f>
        <v>1</v>
      </c>
      <c r="G15" s="68"/>
      <c r="H15" s="66">
        <f ca="1">COUNTIFS('📋 Risk Register'!V2:V500,"Open",'📋 Risk Register'!X2:X500,"&lt;"&amp;TODAY())</f>
        <v>0</v>
      </c>
      <c r="I15" s="66"/>
    </row>
    <row r="16" spans="2:10" ht="21.75" customHeight="1" x14ac:dyDescent="0.2">
      <c r="B16" s="66"/>
      <c r="C16" s="66"/>
      <c r="D16" s="67"/>
      <c r="E16" s="67"/>
      <c r="F16" s="68"/>
      <c r="G16" s="68"/>
      <c r="H16" s="66"/>
      <c r="I16" s="66"/>
    </row>
    <row r="17" ht="12" customHeight="1" x14ac:dyDescent="0.2"/>
    <row r="35" spans="2:10" ht="18" customHeight="1" x14ac:dyDescent="0.2">
      <c r="B35" s="69" t="s">
        <v>16</v>
      </c>
      <c r="C35" s="69"/>
      <c r="D35" s="69"/>
      <c r="E35" s="69"/>
      <c r="F35" s="69"/>
      <c r="G35" s="69"/>
      <c r="H35" s="69"/>
      <c r="I35" s="69"/>
      <c r="J35" s="69"/>
    </row>
    <row r="50" spans="1:6" x14ac:dyDescent="0.2">
      <c r="A50" t="s">
        <v>17</v>
      </c>
      <c r="B50" t="s">
        <v>18</v>
      </c>
      <c r="C50" t="s">
        <v>19</v>
      </c>
      <c r="D50" t="s">
        <v>18</v>
      </c>
      <c r="E50" t="s">
        <v>20</v>
      </c>
      <c r="F50" t="s">
        <v>18</v>
      </c>
    </row>
    <row r="51" spans="1:6" x14ac:dyDescent="0.2">
      <c r="A51" t="s">
        <v>4</v>
      </c>
      <c r="B51">
        <f>COUNTIF('📋 Risk Register'!T2:T500,"CRITICAL")</f>
        <v>6</v>
      </c>
      <c r="C51" t="s">
        <v>21</v>
      </c>
      <c r="D51">
        <f>COUNTIF('📋 Risk Register'!V2:V500,"Open")</f>
        <v>2</v>
      </c>
      <c r="E51" t="s">
        <v>22</v>
      </c>
      <c r="F51">
        <f>COUNTIF('📋 Risk Register'!G2:G500,"Zone 1 (Corporate IT)")</f>
        <v>0</v>
      </c>
    </row>
    <row r="52" spans="1:6" x14ac:dyDescent="0.2">
      <c r="A52" t="s">
        <v>5</v>
      </c>
      <c r="B52">
        <f>COUNTIF('📋 Risk Register'!T2:T500,"HIGH")</f>
        <v>0</v>
      </c>
      <c r="C52" t="s">
        <v>23</v>
      </c>
      <c r="D52">
        <f>COUNTIF('📋 Risk Register'!V2:V500,"In Progress")</f>
        <v>4</v>
      </c>
      <c r="E52" t="s">
        <v>24</v>
      </c>
      <c r="F52">
        <f>COUNTIF('📋 Risk Register'!G2:G500,"Zone 2 (DCS/Control)")</f>
        <v>1</v>
      </c>
    </row>
    <row r="53" spans="1:6" x14ac:dyDescent="0.2">
      <c r="A53" t="s">
        <v>6</v>
      </c>
      <c r="B53">
        <f>COUNTIF('📋 Risk Register'!T2:T500,"MEDIUM")</f>
        <v>0</v>
      </c>
      <c r="C53" t="s">
        <v>25</v>
      </c>
      <c r="D53">
        <f>COUNTIF('📋 Risk Register'!V2:V500,"Closed")</f>
        <v>0</v>
      </c>
      <c r="E53" t="s">
        <v>26</v>
      </c>
      <c r="F53">
        <f>COUNTIF('📋 Risk Register'!G2:G500,"Zone 3 (Operations)")</f>
        <v>1</v>
      </c>
    </row>
    <row r="54" spans="1:6" x14ac:dyDescent="0.2">
      <c r="A54" t="s">
        <v>7</v>
      </c>
      <c r="B54">
        <f>COUNTIF('📋 Risk Register'!T2:T500,"LOW")</f>
        <v>0</v>
      </c>
      <c r="C54" t="s">
        <v>27</v>
      </c>
      <c r="D54">
        <f>COUNTIF('📋 Risk Register'!V2:V500,"Accepted")</f>
        <v>0</v>
      </c>
      <c r="E54" t="s">
        <v>28</v>
      </c>
      <c r="F54">
        <f>COUNTIF('📋 Risk Register'!G2:G500,"Zone 4 (Field/Control)")</f>
        <v>2</v>
      </c>
    </row>
    <row r="55" spans="1:6" x14ac:dyDescent="0.2">
      <c r="C55" t="s">
        <v>29</v>
      </c>
      <c r="D55">
        <f>COUNTIF('📋 Risk Register'!V2:V500,"Deferred")</f>
        <v>0</v>
      </c>
      <c r="E55" t="s">
        <v>30</v>
      </c>
      <c r="F55">
        <f>COUNTIF('📋 Risk Register'!G2:G500,"Zone 5 (Safety/SIS)")</f>
        <v>2</v>
      </c>
    </row>
    <row r="56" spans="1:6" x14ac:dyDescent="0.2">
      <c r="E56" t="s">
        <v>31</v>
      </c>
      <c r="F56">
        <f>COUNTIF('📋 Risk Register'!G2:G500,"Conduit")</f>
        <v>0</v>
      </c>
    </row>
    <row r="57" spans="1:6" x14ac:dyDescent="0.2">
      <c r="E57" t="s">
        <v>32</v>
      </c>
      <c r="F57">
        <f>COUNTIF('📋 Risk Register'!G2:G500,"Multiple")</f>
        <v>0</v>
      </c>
    </row>
  </sheetData>
  <mergeCells count="30">
    <mergeCell ref="B35:J35"/>
    <mergeCell ref="B14:C14"/>
    <mergeCell ref="D14:E14"/>
    <mergeCell ref="F14:G14"/>
    <mergeCell ref="H14:I14"/>
    <mergeCell ref="B15:C16"/>
    <mergeCell ref="D15:E16"/>
    <mergeCell ref="F15:G16"/>
    <mergeCell ref="H15:I16"/>
    <mergeCell ref="B10:C11"/>
    <mergeCell ref="D10:E11"/>
    <mergeCell ref="F10:G11"/>
    <mergeCell ref="H10:I11"/>
    <mergeCell ref="B13:J13"/>
    <mergeCell ref="B6:C7"/>
    <mergeCell ref="D6:E7"/>
    <mergeCell ref="F6:G7"/>
    <mergeCell ref="H6:I7"/>
    <mergeCell ref="B9:C9"/>
    <mergeCell ref="D9:E9"/>
    <mergeCell ref="F9:G9"/>
    <mergeCell ref="H9:I9"/>
    <mergeCell ref="B1:J1"/>
    <mergeCell ref="B2:E2"/>
    <mergeCell ref="F2:J2"/>
    <mergeCell ref="B4:J4"/>
    <mergeCell ref="B5:C5"/>
    <mergeCell ref="D5:E5"/>
    <mergeCell ref="F5:G5"/>
    <mergeCell ref="H5:I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666"/>
  </sheetPr>
  <dimension ref="A1:AH9"/>
  <sheetViews>
    <sheetView showGridLines="0" zoomScaleNormal="100" workbookViewId="0">
      <pane ySplit="3" topLeftCell="A4" activePane="bottomLeft" state="frozen"/>
      <selection pane="bottomLeft" sqref="A1:AH1"/>
    </sheetView>
  </sheetViews>
  <sheetFormatPr baseColWidth="10" defaultColWidth="8.6640625" defaultRowHeight="15" x14ac:dyDescent="0.2"/>
  <cols>
    <col min="1" max="1" width="10" customWidth="1"/>
    <col min="2" max="2" width="36" customWidth="1"/>
    <col min="3" max="3" width="22" customWidth="1"/>
    <col min="4" max="4" width="16" customWidth="1"/>
    <col min="5" max="5" width="18" customWidth="1"/>
    <col min="6" max="6" width="20" customWidth="1"/>
    <col min="7" max="7" width="18" customWidth="1"/>
    <col min="8" max="9" width="20" customWidth="1"/>
    <col min="10" max="10" width="30" customWidth="1"/>
    <col min="11" max="11" width="14" customWidth="1"/>
    <col min="12" max="12" width="28" customWidth="1"/>
    <col min="13" max="17" width="14" customWidth="1"/>
    <col min="18" max="18" width="12" customWidth="1"/>
    <col min="19" max="20" width="14" customWidth="1"/>
    <col min="21" max="21" width="22" customWidth="1"/>
    <col min="22" max="22" width="16" customWidth="1"/>
    <col min="23" max="24" width="14" customWidth="1"/>
    <col min="25" max="26" width="20" customWidth="1"/>
    <col min="27" max="27" width="36" customWidth="1"/>
    <col min="28" max="28" width="12" customWidth="1"/>
    <col min="29" max="29" width="16" customWidth="1"/>
    <col min="30" max="30" width="12" customWidth="1"/>
    <col min="31" max="31" width="14" customWidth="1"/>
    <col min="32" max="32" width="18" customWidth="1"/>
    <col min="33" max="33" width="14" customWidth="1"/>
    <col min="34" max="34" width="30" customWidth="1"/>
  </cols>
  <sheetData>
    <row r="1" spans="1:34" ht="39.75" customHeight="1" x14ac:dyDescent="0.2">
      <c r="A1" s="70" t="s">
        <v>33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</row>
    <row r="2" spans="1:34" ht="18" customHeight="1" x14ac:dyDescent="0.2">
      <c r="A2" s="71" t="s">
        <v>34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 t="str">
        <f ca="1">TEXT(TODAY(),"DD MMM YYYY")</f>
        <v>12 May 2026</v>
      </c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</row>
    <row r="3" spans="1:34" ht="31.5" customHeight="1" x14ac:dyDescent="0.2">
      <c r="A3" s="18" t="s">
        <v>35</v>
      </c>
      <c r="B3" s="18" t="s">
        <v>36</v>
      </c>
      <c r="C3" s="18" t="s">
        <v>37</v>
      </c>
      <c r="D3" s="18" t="s">
        <v>38</v>
      </c>
      <c r="E3" s="18" t="s">
        <v>39</v>
      </c>
      <c r="F3" s="18" t="s">
        <v>40</v>
      </c>
      <c r="G3" s="18" t="s">
        <v>41</v>
      </c>
      <c r="H3" s="18" t="s">
        <v>42</v>
      </c>
      <c r="I3" s="19" t="s">
        <v>43</v>
      </c>
      <c r="J3" s="19" t="s">
        <v>44</v>
      </c>
      <c r="K3" s="19" t="s">
        <v>45</v>
      </c>
      <c r="L3" s="20" t="s">
        <v>46</v>
      </c>
      <c r="M3" s="20" t="s">
        <v>47</v>
      </c>
      <c r="N3" s="20" t="s">
        <v>48</v>
      </c>
      <c r="O3" s="20" t="s">
        <v>49</v>
      </c>
      <c r="P3" s="20" t="s">
        <v>50</v>
      </c>
      <c r="Q3" s="20" t="s">
        <v>51</v>
      </c>
      <c r="R3" s="21" t="s">
        <v>52</v>
      </c>
      <c r="S3" s="21" t="s">
        <v>53</v>
      </c>
      <c r="T3" s="21" t="s">
        <v>54</v>
      </c>
      <c r="U3" s="21" t="s">
        <v>55</v>
      </c>
      <c r="V3" s="22" t="s">
        <v>56</v>
      </c>
      <c r="W3" s="22" t="s">
        <v>57</v>
      </c>
      <c r="X3" s="22" t="s">
        <v>58</v>
      </c>
      <c r="Y3" s="22" t="s">
        <v>59</v>
      </c>
      <c r="Z3" s="22" t="s">
        <v>60</v>
      </c>
      <c r="AA3" s="22" t="s">
        <v>61</v>
      </c>
      <c r="AB3" s="22" t="s">
        <v>62</v>
      </c>
      <c r="AC3" s="22" t="s">
        <v>63</v>
      </c>
      <c r="AD3" s="23" t="s">
        <v>64</v>
      </c>
      <c r="AE3" s="23" t="s">
        <v>65</v>
      </c>
      <c r="AF3" s="23" t="s">
        <v>66</v>
      </c>
      <c r="AG3" s="23" t="s">
        <v>67</v>
      </c>
      <c r="AH3" s="23" t="s">
        <v>68</v>
      </c>
    </row>
    <row r="4" spans="1:34" ht="60" customHeight="1" x14ac:dyDescent="0.2">
      <c r="A4" s="24" t="s">
        <v>69</v>
      </c>
      <c r="B4" s="24" t="s">
        <v>70</v>
      </c>
      <c r="C4" s="24" t="s">
        <v>71</v>
      </c>
      <c r="D4" s="24" t="s">
        <v>72</v>
      </c>
      <c r="E4" s="24" t="s">
        <v>73</v>
      </c>
      <c r="F4" s="24" t="s">
        <v>74</v>
      </c>
      <c r="G4" s="24" t="s">
        <v>30</v>
      </c>
      <c r="H4" s="24" t="s">
        <v>75</v>
      </c>
      <c r="I4" s="24" t="s">
        <v>76</v>
      </c>
      <c r="J4" s="24" t="s">
        <v>77</v>
      </c>
      <c r="K4" s="24">
        <v>4</v>
      </c>
      <c r="L4" s="24" t="s">
        <v>78</v>
      </c>
      <c r="M4" s="24">
        <v>4</v>
      </c>
      <c r="N4" s="24">
        <v>4</v>
      </c>
      <c r="O4" s="24">
        <v>3</v>
      </c>
      <c r="P4" s="24">
        <v>4</v>
      </c>
      <c r="Q4" s="25">
        <f t="shared" ref="Q4:Q9" si="0">IF(M4="","",MIN(4,ROUND((M4+N4+O4+P4)/4,0)))</f>
        <v>4</v>
      </c>
      <c r="R4" s="25">
        <f t="shared" ref="R4:R9" si="1">IF(K4="","",IF(Q4="","",K4*Q4))</f>
        <v>16</v>
      </c>
      <c r="S4" s="25" t="str">
        <f t="shared" ref="S4:S9" si="2">IF(R4="","",IF(R4&gt;=12,"CRITICAL",IF(R4&gt;=6,"HIGH",IF(R4&gt;=3,"MEDIUM","LOW"))))</f>
        <v>CRITICAL</v>
      </c>
      <c r="T4" s="25" t="str">
        <f t="shared" ref="T4:T9" si="3">IF(R4="","",IF(R4&gt;=12,"CRITICAL",IF(R4&gt;=6,"HIGH",IF(R4&gt;=3,"MEDIUM","LOW"))))</f>
        <v>CRITICAL</v>
      </c>
      <c r="U4" s="24" t="s">
        <v>79</v>
      </c>
      <c r="V4" s="24" t="s">
        <v>23</v>
      </c>
      <c r="W4" s="24" t="s">
        <v>80</v>
      </c>
      <c r="X4" s="26" t="s">
        <v>81</v>
      </c>
      <c r="Y4" s="24" t="s">
        <v>82</v>
      </c>
      <c r="Z4" s="24" t="s">
        <v>83</v>
      </c>
      <c r="AA4" s="24" t="s">
        <v>84</v>
      </c>
      <c r="AB4" s="24" t="s">
        <v>85</v>
      </c>
      <c r="AC4" s="24" t="s">
        <v>86</v>
      </c>
      <c r="AD4" s="24">
        <v>8</v>
      </c>
      <c r="AE4" s="25" t="str">
        <f t="shared" ref="AE4:AE9" si="4">IF(AD4="","",IF(AD4&gt;=12,"CRITICAL",IF(AD4&gt;=6,"HIGH",IF(AD4&gt;=3,"MEDIUM","LOW"))))</f>
        <v>HIGH</v>
      </c>
      <c r="AF4" s="24" t="s">
        <v>87</v>
      </c>
      <c r="AG4" s="26" t="s">
        <v>88</v>
      </c>
      <c r="AH4" s="24" t="s">
        <v>89</v>
      </c>
    </row>
    <row r="5" spans="1:34" ht="60" customHeight="1" x14ac:dyDescent="0.2">
      <c r="A5" s="27" t="s">
        <v>90</v>
      </c>
      <c r="B5" s="27" t="s">
        <v>91</v>
      </c>
      <c r="C5" s="27" t="s">
        <v>92</v>
      </c>
      <c r="D5" s="27" t="s">
        <v>93</v>
      </c>
      <c r="E5" s="27" t="s">
        <v>94</v>
      </c>
      <c r="F5" s="27" t="s">
        <v>95</v>
      </c>
      <c r="G5" s="27" t="s">
        <v>24</v>
      </c>
      <c r="H5" s="27" t="s">
        <v>96</v>
      </c>
      <c r="I5" s="27" t="s">
        <v>76</v>
      </c>
      <c r="J5" s="27" t="s">
        <v>97</v>
      </c>
      <c r="K5" s="27">
        <v>4</v>
      </c>
      <c r="L5" s="27" t="s">
        <v>98</v>
      </c>
      <c r="M5" s="27">
        <v>3</v>
      </c>
      <c r="N5" s="27">
        <v>4</v>
      </c>
      <c r="O5" s="27">
        <v>3</v>
      </c>
      <c r="P5" s="27">
        <v>4</v>
      </c>
      <c r="Q5" s="25">
        <f t="shared" si="0"/>
        <v>4</v>
      </c>
      <c r="R5" s="25">
        <f t="shared" si="1"/>
        <v>16</v>
      </c>
      <c r="S5" s="25" t="str">
        <f t="shared" si="2"/>
        <v>CRITICAL</v>
      </c>
      <c r="T5" s="25" t="str">
        <f t="shared" si="3"/>
        <v>CRITICAL</v>
      </c>
      <c r="U5" s="27" t="s">
        <v>99</v>
      </c>
      <c r="V5" s="27" t="s">
        <v>23</v>
      </c>
      <c r="W5" s="27" t="s">
        <v>80</v>
      </c>
      <c r="X5" s="28" t="s">
        <v>100</v>
      </c>
      <c r="Y5" s="27" t="s">
        <v>101</v>
      </c>
      <c r="Z5" s="27" t="s">
        <v>83</v>
      </c>
      <c r="AA5" s="27" t="s">
        <v>102</v>
      </c>
      <c r="AB5" s="27" t="s">
        <v>85</v>
      </c>
      <c r="AC5" s="27" t="s">
        <v>103</v>
      </c>
      <c r="AD5" s="27">
        <v>8</v>
      </c>
      <c r="AE5" s="25" t="str">
        <f t="shared" si="4"/>
        <v>HIGH</v>
      </c>
      <c r="AF5" s="27" t="s">
        <v>87</v>
      </c>
      <c r="AG5" s="28" t="s">
        <v>88</v>
      </c>
      <c r="AH5" s="27" t="s">
        <v>104</v>
      </c>
    </row>
    <row r="6" spans="1:34" ht="60" customHeight="1" x14ac:dyDescent="0.2">
      <c r="A6" s="24" t="s">
        <v>105</v>
      </c>
      <c r="B6" s="24" t="s">
        <v>106</v>
      </c>
      <c r="C6" s="24" t="s">
        <v>107</v>
      </c>
      <c r="D6" s="24" t="s">
        <v>108</v>
      </c>
      <c r="E6" s="24" t="s">
        <v>109</v>
      </c>
      <c r="F6" s="24" t="s">
        <v>110</v>
      </c>
      <c r="G6" s="24" t="s">
        <v>28</v>
      </c>
      <c r="H6" s="24" t="s">
        <v>111</v>
      </c>
      <c r="I6" s="24" t="s">
        <v>76</v>
      </c>
      <c r="J6" s="24" t="s">
        <v>112</v>
      </c>
      <c r="K6" s="24">
        <v>3</v>
      </c>
      <c r="L6" s="24" t="s">
        <v>113</v>
      </c>
      <c r="M6" s="24">
        <v>4</v>
      </c>
      <c r="N6" s="24">
        <v>4</v>
      </c>
      <c r="O6" s="24">
        <v>3</v>
      </c>
      <c r="P6" s="24">
        <v>4</v>
      </c>
      <c r="Q6" s="25">
        <f t="shared" si="0"/>
        <v>4</v>
      </c>
      <c r="R6" s="25">
        <f t="shared" si="1"/>
        <v>12</v>
      </c>
      <c r="S6" s="25" t="str">
        <f t="shared" si="2"/>
        <v>CRITICAL</v>
      </c>
      <c r="T6" s="25" t="str">
        <f t="shared" si="3"/>
        <v>CRITICAL</v>
      </c>
      <c r="U6" s="24" t="s">
        <v>114</v>
      </c>
      <c r="V6" s="24" t="s">
        <v>23</v>
      </c>
      <c r="W6" s="24" t="s">
        <v>80</v>
      </c>
      <c r="X6" s="26" t="s">
        <v>115</v>
      </c>
      <c r="Y6" s="24" t="s">
        <v>116</v>
      </c>
      <c r="Z6" s="24" t="s">
        <v>83</v>
      </c>
      <c r="AA6" s="24" t="s">
        <v>117</v>
      </c>
      <c r="AB6" s="24" t="s">
        <v>118</v>
      </c>
      <c r="AC6" s="24" t="s">
        <v>119</v>
      </c>
      <c r="AD6" s="24">
        <v>3</v>
      </c>
      <c r="AE6" s="25" t="str">
        <f t="shared" si="4"/>
        <v>MEDIUM</v>
      </c>
      <c r="AF6" s="24" t="s">
        <v>120</v>
      </c>
      <c r="AG6" s="26" t="s">
        <v>100</v>
      </c>
      <c r="AH6" s="24" t="s">
        <v>121</v>
      </c>
    </row>
    <row r="7" spans="1:34" ht="60" customHeight="1" x14ac:dyDescent="0.2">
      <c r="A7" s="27" t="s">
        <v>122</v>
      </c>
      <c r="B7" s="27" t="s">
        <v>123</v>
      </c>
      <c r="C7" s="27" t="s">
        <v>124</v>
      </c>
      <c r="D7" s="27" t="s">
        <v>125</v>
      </c>
      <c r="E7" s="27" t="s">
        <v>126</v>
      </c>
      <c r="F7" s="27" t="s">
        <v>127</v>
      </c>
      <c r="G7" s="27" t="s">
        <v>30</v>
      </c>
      <c r="H7" s="27" t="s">
        <v>75</v>
      </c>
      <c r="I7" s="27" t="s">
        <v>76</v>
      </c>
      <c r="J7" s="27" t="s">
        <v>128</v>
      </c>
      <c r="K7" s="27">
        <v>4</v>
      </c>
      <c r="L7" s="27" t="s">
        <v>129</v>
      </c>
      <c r="M7" s="27">
        <v>2</v>
      </c>
      <c r="N7" s="27">
        <v>4</v>
      </c>
      <c r="O7" s="27">
        <v>2</v>
      </c>
      <c r="P7" s="27">
        <v>3</v>
      </c>
      <c r="Q7" s="25">
        <f t="shared" si="0"/>
        <v>3</v>
      </c>
      <c r="R7" s="25">
        <f t="shared" si="1"/>
        <v>12</v>
      </c>
      <c r="S7" s="25" t="str">
        <f t="shared" si="2"/>
        <v>CRITICAL</v>
      </c>
      <c r="T7" s="25" t="str">
        <f t="shared" si="3"/>
        <v>CRITICAL</v>
      </c>
      <c r="U7" s="27" t="s">
        <v>130</v>
      </c>
      <c r="V7" s="27" t="s">
        <v>23</v>
      </c>
      <c r="W7" s="27" t="s">
        <v>131</v>
      </c>
      <c r="X7" s="28" t="s">
        <v>88</v>
      </c>
      <c r="Y7" s="27" t="s">
        <v>132</v>
      </c>
      <c r="Z7" s="27" t="s">
        <v>83</v>
      </c>
      <c r="AA7" s="27" t="s">
        <v>133</v>
      </c>
      <c r="AB7" s="27" t="s">
        <v>85</v>
      </c>
      <c r="AC7" s="27" t="s">
        <v>86</v>
      </c>
      <c r="AD7" s="27">
        <v>8</v>
      </c>
      <c r="AE7" s="25" t="str">
        <f t="shared" si="4"/>
        <v>HIGH</v>
      </c>
      <c r="AF7" s="27" t="s">
        <v>87</v>
      </c>
      <c r="AG7" s="28" t="s">
        <v>134</v>
      </c>
      <c r="AH7" s="27" t="s">
        <v>135</v>
      </c>
    </row>
    <row r="8" spans="1:34" ht="60" customHeight="1" x14ac:dyDescent="0.2">
      <c r="A8" s="24" t="s">
        <v>136</v>
      </c>
      <c r="B8" s="24" t="s">
        <v>137</v>
      </c>
      <c r="C8" s="24" t="s">
        <v>138</v>
      </c>
      <c r="D8" s="24" t="s">
        <v>139</v>
      </c>
      <c r="E8" s="24" t="s">
        <v>140</v>
      </c>
      <c r="F8" s="24" t="s">
        <v>141</v>
      </c>
      <c r="G8" s="24" t="s">
        <v>28</v>
      </c>
      <c r="H8" s="24" t="s">
        <v>142</v>
      </c>
      <c r="I8" s="24" t="s">
        <v>76</v>
      </c>
      <c r="J8" s="24" t="s">
        <v>143</v>
      </c>
      <c r="K8" s="24">
        <v>4</v>
      </c>
      <c r="L8" s="24" t="s">
        <v>144</v>
      </c>
      <c r="M8" s="24">
        <v>4</v>
      </c>
      <c r="N8" s="24">
        <v>4</v>
      </c>
      <c r="O8" s="24">
        <v>3</v>
      </c>
      <c r="P8" s="24">
        <v>3</v>
      </c>
      <c r="Q8" s="25">
        <f t="shared" si="0"/>
        <v>4</v>
      </c>
      <c r="R8" s="25">
        <f t="shared" si="1"/>
        <v>16</v>
      </c>
      <c r="S8" s="25" t="str">
        <f t="shared" si="2"/>
        <v>CRITICAL</v>
      </c>
      <c r="T8" s="25" t="str">
        <f t="shared" si="3"/>
        <v>CRITICAL</v>
      </c>
      <c r="U8" s="24" t="s">
        <v>99</v>
      </c>
      <c r="V8" s="24" t="s">
        <v>21</v>
      </c>
      <c r="W8" s="24" t="s">
        <v>80</v>
      </c>
      <c r="X8" s="26" t="s">
        <v>145</v>
      </c>
      <c r="Y8" s="24" t="s">
        <v>146</v>
      </c>
      <c r="Z8" s="24" t="s">
        <v>83</v>
      </c>
      <c r="AA8" s="24" t="s">
        <v>147</v>
      </c>
      <c r="AB8" s="24" t="s">
        <v>85</v>
      </c>
      <c r="AC8" s="24" t="s">
        <v>148</v>
      </c>
      <c r="AD8" s="24">
        <v>8</v>
      </c>
      <c r="AE8" s="25" t="str">
        <f t="shared" si="4"/>
        <v>HIGH</v>
      </c>
      <c r="AF8" s="24" t="s">
        <v>149</v>
      </c>
      <c r="AG8" s="26" t="s">
        <v>88</v>
      </c>
      <c r="AH8" s="24" t="s">
        <v>150</v>
      </c>
    </row>
    <row r="9" spans="1:34" ht="60" customHeight="1" x14ac:dyDescent="0.2">
      <c r="A9" s="27" t="s">
        <v>151</v>
      </c>
      <c r="B9" s="27" t="s">
        <v>152</v>
      </c>
      <c r="C9" s="27" t="s">
        <v>153</v>
      </c>
      <c r="D9" s="27" t="s">
        <v>154</v>
      </c>
      <c r="E9" s="27" t="s">
        <v>155</v>
      </c>
      <c r="F9" s="27" t="s">
        <v>156</v>
      </c>
      <c r="G9" s="27" t="s">
        <v>26</v>
      </c>
      <c r="H9" s="27" t="s">
        <v>157</v>
      </c>
      <c r="I9" s="27" t="s">
        <v>76</v>
      </c>
      <c r="J9" s="27" t="s">
        <v>158</v>
      </c>
      <c r="K9" s="27">
        <v>4</v>
      </c>
      <c r="L9" s="27" t="s">
        <v>159</v>
      </c>
      <c r="M9" s="27">
        <v>4</v>
      </c>
      <c r="N9" s="27">
        <v>4</v>
      </c>
      <c r="O9" s="27">
        <v>3</v>
      </c>
      <c r="P9" s="27">
        <v>3</v>
      </c>
      <c r="Q9" s="25">
        <f t="shared" si="0"/>
        <v>4</v>
      </c>
      <c r="R9" s="25">
        <f t="shared" si="1"/>
        <v>16</v>
      </c>
      <c r="S9" s="25" t="str">
        <f t="shared" si="2"/>
        <v>CRITICAL</v>
      </c>
      <c r="T9" s="25" t="str">
        <f t="shared" si="3"/>
        <v>CRITICAL</v>
      </c>
      <c r="U9" s="27" t="s">
        <v>99</v>
      </c>
      <c r="V9" s="27" t="s">
        <v>21</v>
      </c>
      <c r="W9" s="27" t="s">
        <v>80</v>
      </c>
      <c r="X9" s="28" t="s">
        <v>160</v>
      </c>
      <c r="Y9" s="27" t="s">
        <v>161</v>
      </c>
      <c r="Z9" s="27" t="s">
        <v>83</v>
      </c>
      <c r="AA9" s="27" t="s">
        <v>162</v>
      </c>
      <c r="AB9" s="27" t="s">
        <v>118</v>
      </c>
      <c r="AC9" s="27" t="s">
        <v>163</v>
      </c>
      <c r="AD9" s="27">
        <v>4</v>
      </c>
      <c r="AE9" s="25" t="str">
        <f t="shared" si="4"/>
        <v>MEDIUM</v>
      </c>
      <c r="AF9" s="27" t="s">
        <v>149</v>
      </c>
      <c r="AG9" s="28" t="s">
        <v>145</v>
      </c>
      <c r="AH9" s="27" t="s">
        <v>164</v>
      </c>
    </row>
  </sheetData>
  <autoFilter ref="A3:AH104" xr:uid="{00000000-0009-0000-0000-000001000000}"/>
  <mergeCells count="3">
    <mergeCell ref="A1:AH1"/>
    <mergeCell ref="A2:M2"/>
    <mergeCell ref="N2:AH2"/>
  </mergeCells>
  <conditionalFormatting sqref="R4:R104">
    <cfRule type="colorScale" priority="2">
      <colorScale>
        <cfvo type="num" val="1"/>
        <cfvo type="num" val="8"/>
        <cfvo type="num" val="16"/>
        <color rgb="FF63BE7B"/>
        <color rgb="FFFFEB84"/>
        <color rgb="FFF8696B"/>
      </colorScale>
    </cfRule>
  </conditionalFormatting>
  <conditionalFormatting sqref="T4:T104">
    <cfRule type="cellIs" dxfId="22" priority="3" operator="equal">
      <formula>"CRITICAL"</formula>
    </cfRule>
    <cfRule type="cellIs" dxfId="21" priority="4" operator="equal">
      <formula>"HIGH"</formula>
    </cfRule>
    <cfRule type="cellIs" dxfId="20" priority="5" operator="equal">
      <formula>"MEDIUM"</formula>
    </cfRule>
    <cfRule type="cellIs" dxfId="19" priority="6" operator="equal">
      <formula>"LOW"</formula>
    </cfRule>
  </conditionalFormatting>
  <conditionalFormatting sqref="V4:V104">
    <cfRule type="cellIs" dxfId="18" priority="11" operator="equal">
      <formula>"Open"</formula>
    </cfRule>
    <cfRule type="cellIs" dxfId="17" priority="12" operator="equal">
      <formula>"In Progress"</formula>
    </cfRule>
    <cfRule type="cellIs" dxfId="16" priority="13" operator="equal">
      <formula>"Closed"</formula>
    </cfRule>
    <cfRule type="cellIs" dxfId="15" priority="14" operator="equal">
      <formula>"Accepted"</formula>
    </cfRule>
    <cfRule type="cellIs" dxfId="14" priority="15" operator="equal">
      <formula>"Deferred"</formula>
    </cfRule>
  </conditionalFormatting>
  <conditionalFormatting sqref="X4:X104">
    <cfRule type="expression" dxfId="13" priority="16">
      <formula>AND(X4&lt;TODAY(),V4&lt;&gt;"Closed")</formula>
    </cfRule>
  </conditionalFormatting>
  <conditionalFormatting sqref="AE4:AE104">
    <cfRule type="cellIs" dxfId="12" priority="7" operator="equal">
      <formula>"CRITICAL"</formula>
    </cfRule>
    <cfRule type="cellIs" dxfId="11" priority="8" operator="equal">
      <formula>"HIGH"</formula>
    </cfRule>
    <cfRule type="cellIs" dxfId="10" priority="9" operator="equal">
      <formula>"MEDIUM"</formula>
    </cfRule>
    <cfRule type="cellIs" dxfId="9" priority="10" operator="equal">
      <formula>"LOW"</formula>
    </cfRule>
  </conditionalFormatting>
  <dataValidations count="7">
    <dataValidation type="list" allowBlank="1" errorTitle="Invalid Zone" error="Please select a valid zone" sqref="G4:G500" xr:uid="{00000000-0002-0000-0100-000000000000}">
      <formula1>"Zone 1 (Corporate IT),Zone 2 (DCS/Control),Zone 3 (Operations),Zone 4 (Field/Control),Zone 5 (Safety/SIS),Conduit,Multiple"</formula1>
      <formula2>0</formula2>
    </dataValidation>
    <dataValidation type="list" allowBlank="1" sqref="I4:I500" xr:uid="{00000000-0002-0000-0100-000001000000}">
      <formula1>"Safety/HSE,Environmental,Operational,Reputational,Financial,Regulatory"</formula1>
      <formula2>0</formula2>
    </dataValidation>
    <dataValidation type="list" allowBlank="1" sqref="K4:K500 M4:P500" xr:uid="{00000000-0002-0000-0100-000002000000}">
      <formula1>"1,2,3,4"</formula1>
      <formula2>0</formula2>
    </dataValidation>
    <dataValidation type="list" allowBlank="1" sqref="V4:V500" xr:uid="{00000000-0002-0000-0100-000007000000}">
      <formula1>"Open,In Progress,Closed,Accepted,Deferred"</formula1>
      <formula2>0</formula2>
    </dataValidation>
    <dataValidation type="list" allowBlank="1" sqref="W4:W500" xr:uid="{00000000-0002-0000-0100-000008000000}">
      <formula1>"Yes,No,N/A"</formula1>
      <formula2>0</formula2>
    </dataValidation>
    <dataValidation type="list" allowBlank="1" sqref="Z4:Z500" xr:uid="{00000000-0002-0000-0100-000009000000}">
      <formula1>"Avoid,Reduce,Transfer,Retain"</formula1>
      <formula2>0</formula2>
    </dataValidation>
    <dataValidation type="list" allowBlank="1" sqref="AB4:AB500" xr:uid="{00000000-0002-0000-0100-00000A000000}">
      <formula1>"SL-T 1,SL-T 2,SL-T 3,SL-T 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B1:K12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22" customWidth="1"/>
    <col min="3" max="7" width="16" customWidth="1"/>
    <col min="8" max="8" width="3" customWidth="1"/>
    <col min="9" max="10" width="22" customWidth="1"/>
    <col min="11" max="11" width="16" customWidth="1"/>
  </cols>
  <sheetData>
    <row r="1" spans="2:11" ht="36" customHeight="1" x14ac:dyDescent="0.2">
      <c r="B1" s="73" t="s">
        <v>165</v>
      </c>
      <c r="C1" s="73"/>
      <c r="D1" s="73"/>
      <c r="E1" s="73"/>
      <c r="F1" s="73"/>
      <c r="G1" s="73"/>
      <c r="I1" s="74" t="s">
        <v>166</v>
      </c>
      <c r="J1" s="74"/>
      <c r="K1" s="74"/>
    </row>
    <row r="2" spans="2:11" ht="21.75" customHeight="1" x14ac:dyDescent="0.2">
      <c r="B2" s="75" t="s">
        <v>167</v>
      </c>
      <c r="C2" s="75"/>
      <c r="D2" s="75"/>
      <c r="E2" s="75"/>
      <c r="F2" s="75"/>
      <c r="G2" s="75"/>
      <c r="I2" s="29" t="s">
        <v>4</v>
      </c>
      <c r="J2" s="66">
        <f>COUNTIF('📋 Risk Register'!T4:T500,"CRITICAL")</f>
        <v>6</v>
      </c>
      <c r="K2" s="66"/>
    </row>
    <row r="3" spans="2:11" ht="21.75" customHeight="1" x14ac:dyDescent="0.2">
      <c r="I3" s="30" t="s">
        <v>5</v>
      </c>
      <c r="J3" s="67">
        <f>COUNTIF('📋 Risk Register'!T4:T500,"HIGH")</f>
        <v>0</v>
      </c>
      <c r="K3" s="67"/>
    </row>
    <row r="4" spans="2:11" ht="21.75" customHeight="1" x14ac:dyDescent="0.2">
      <c r="B4" s="31"/>
      <c r="C4" s="32" t="s">
        <v>168</v>
      </c>
      <c r="D4" s="32" t="s">
        <v>169</v>
      </c>
      <c r="E4" s="32" t="s">
        <v>170</v>
      </c>
      <c r="F4" s="32" t="s">
        <v>171</v>
      </c>
      <c r="G4" s="33" t="s">
        <v>172</v>
      </c>
      <c r="I4" s="34" t="s">
        <v>6</v>
      </c>
      <c r="J4" s="76">
        <f>COUNTIF('📋 Risk Register'!T4:T500,"MEDIUM")</f>
        <v>0</v>
      </c>
      <c r="K4" s="76"/>
    </row>
    <row r="5" spans="2:11" ht="21.75" customHeight="1" x14ac:dyDescent="0.2">
      <c r="B5" s="32" t="s">
        <v>173</v>
      </c>
      <c r="C5" s="35" t="str">
        <f ca="1">IFERROR(_xludf.textjoin(", ",TRUE(),IF(('📋 Risk Register'!Q$4:Q$500=4)*('📋 Risk Register'!K$4:K$500=1),'📋 Risk Register'!A$4:A$500,"")),"")</f>
        <v/>
      </c>
      <c r="D5" s="35" t="str">
        <f ca="1">IFERROR(_xludf.textjoin(", ",TRUE(),IF(('📋 Risk Register'!Q$4:Q$500=4)*('📋 Risk Register'!K$4:K$500=2),'📋 Risk Register'!A$4:A$500,"")),"")</f>
        <v/>
      </c>
      <c r="E5" s="36" t="str">
        <f ca="1">IFERROR(_xludf.textjoin(", ",TRUE(),IF(('📋 Risk Register'!Q$4:Q$500=4)*('📋 Risk Register'!K$4:K$500=3),'📋 Risk Register'!A$4:A$500,"")),"")</f>
        <v/>
      </c>
      <c r="F5" s="37" t="str">
        <f ca="1">IFERROR(_xludf.textjoin(", ",TRUE(),IF(('📋 Risk Register'!Q$4:Q$500=4)*('📋 Risk Register'!K$4:K$500=4),'📋 Risk Register'!A$4:A$500,"")),"")</f>
        <v/>
      </c>
      <c r="I5" s="38" t="s">
        <v>7</v>
      </c>
      <c r="J5" s="77">
        <f>COUNTIF('📋 Risk Register'!T4:T500,"LOW")</f>
        <v>0</v>
      </c>
      <c r="K5" s="77"/>
    </row>
    <row r="6" spans="2:11" ht="21.75" customHeight="1" x14ac:dyDescent="0.2">
      <c r="B6" s="32" t="s">
        <v>174</v>
      </c>
      <c r="C6" s="35" t="str">
        <f ca="1">IFERROR(_xludf.textjoin(", ",TRUE(),IF(('📋 Risk Register'!Q$4:Q$500=3)*('📋 Risk Register'!K$4:K$500=1),'📋 Risk Register'!A$4:A$500,"")),"")</f>
        <v/>
      </c>
      <c r="D6" s="36" t="str">
        <f ca="1">IFERROR(_xludf.textjoin(", ",TRUE(),IF(('📋 Risk Register'!Q$4:Q$500=3)*('📋 Risk Register'!K$4:K$500=2),'📋 Risk Register'!A$4:A$500,"")),"")</f>
        <v/>
      </c>
      <c r="E6" s="37" t="str">
        <f ca="1">IFERROR(_xludf.textjoin(", ",TRUE(),IF(('📋 Risk Register'!Q$4:Q$500=3)*('📋 Risk Register'!K$4:K$500=3),'📋 Risk Register'!A$4:A$500,"")),"")</f>
        <v/>
      </c>
      <c r="F6" s="37" t="str">
        <f ca="1">IFERROR(_xludf.textjoin(", ",TRUE(),IF(('📋 Risk Register'!Q$4:Q$500=3)*('📋 Risk Register'!K$4:K$500=4),'📋 Risk Register'!A$4:A$500,"")),"")</f>
        <v/>
      </c>
      <c r="I6" s="39" t="s">
        <v>175</v>
      </c>
      <c r="J6" s="14">
        <f>COUNTA('📋 Risk Register'!A4:A500)-COUNTBLANK('📋 Risk Register'!A4:A500)</f>
        <v>-485</v>
      </c>
      <c r="K6" s="14"/>
    </row>
    <row r="7" spans="2:11" ht="60" customHeight="1" x14ac:dyDescent="0.2">
      <c r="B7" s="32" t="s">
        <v>176</v>
      </c>
      <c r="C7" s="36" t="str">
        <f ca="1">IFERROR(_xludf.textjoin(", ",TRUE(),IF(('📋 Risk Register'!Q$4:Q$500=2)*('📋 Risk Register'!K$4:K$500=1),'📋 Risk Register'!A$4:A$500,"")),"")</f>
        <v/>
      </c>
      <c r="D7" s="37" t="str">
        <f ca="1">IFERROR(_xludf.textjoin(", ",TRUE(),IF(('📋 Risk Register'!Q$4:Q$500=2)*('📋 Risk Register'!K$4:K$500=2),'📋 Risk Register'!A$4:A$500,"")),"")</f>
        <v/>
      </c>
      <c r="E7" s="40" t="str">
        <f ca="1">IFERROR(_xludf.textjoin(", ",TRUE(),IF(('📋 Risk Register'!Q$4:Q$500=2)*('📋 Risk Register'!K$4:K$500=3),'📋 Risk Register'!A$4:A$500,"")),"")</f>
        <v/>
      </c>
      <c r="F7" s="40" t="str">
        <f ca="1">IFERROR(_xludf.textjoin(", ",TRUE(),IF(('📋 Risk Register'!Q$4:Q$500=2)*('📋 Risk Register'!K$4:K$500=4),'📋 Risk Register'!A$4:A$500,"")),"")</f>
        <v/>
      </c>
    </row>
    <row r="8" spans="2:11" ht="60" customHeight="1" x14ac:dyDescent="0.2">
      <c r="B8" s="32" t="s">
        <v>177</v>
      </c>
      <c r="C8" s="37" t="str">
        <f ca="1">IFERROR(_xludf.textjoin(", ",TRUE(),IF(('📋 Risk Register'!Q$4:Q$500=1)*('📋 Risk Register'!K$4:K$500=1),'📋 Risk Register'!A$4:A$500,"")),"")</f>
        <v/>
      </c>
      <c r="D8" s="40" t="str">
        <f ca="1">IFERROR(_xludf.textjoin(", ",TRUE(),IF(('📋 Risk Register'!Q$4:Q$500=1)*('📋 Risk Register'!K$4:K$500=2),'📋 Risk Register'!A$4:A$500,"")),"")</f>
        <v/>
      </c>
      <c r="E8" s="40" t="str">
        <f ca="1">IFERROR(_xludf.textjoin(", ",TRUE(),IF(('📋 Risk Register'!Q$4:Q$500=1)*('📋 Risk Register'!K$4:K$500=3),'📋 Risk Register'!A$4:A$500,"")),"")</f>
        <v/>
      </c>
      <c r="F8" s="40" t="str">
        <f ca="1">IFERROR(_xludf.textjoin(", ",TRUE(),IF(('📋 Risk Register'!Q$4:Q$500=1)*('📋 Risk Register'!K$4:K$500=4),'📋 Risk Register'!A$4:A$500,"")),"")</f>
        <v/>
      </c>
    </row>
    <row r="10" spans="2:11" ht="9.75" customHeight="1" x14ac:dyDescent="0.2"/>
    <row r="11" spans="2:11" ht="21.75" customHeight="1" x14ac:dyDescent="0.2">
      <c r="B11" s="78" t="s">
        <v>178</v>
      </c>
      <c r="C11" s="78"/>
      <c r="D11" s="78"/>
      <c r="E11" s="78"/>
      <c r="F11" s="78"/>
      <c r="G11" s="78"/>
    </row>
    <row r="12" spans="2:11" ht="19.5" customHeight="1" x14ac:dyDescent="0.2">
      <c r="B12" s="16" t="s">
        <v>179</v>
      </c>
      <c r="C12" s="41" t="s">
        <v>180</v>
      </c>
      <c r="D12" s="17" t="s">
        <v>181</v>
      </c>
      <c r="E12" s="15" t="s">
        <v>182</v>
      </c>
    </row>
  </sheetData>
  <mergeCells count="9">
    <mergeCell ref="J4:K4"/>
    <mergeCell ref="J5:K5"/>
    <mergeCell ref="J6:K6"/>
    <mergeCell ref="B11:G11"/>
    <mergeCell ref="B1:G1"/>
    <mergeCell ref="I1:K1"/>
    <mergeCell ref="B2:G2"/>
    <mergeCell ref="J2:K2"/>
    <mergeCell ref="J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J12"/>
  <sheetViews>
    <sheetView showGridLines="0" zoomScaleNormal="100" workbookViewId="0">
      <selection sqref="A1:J1"/>
    </sheetView>
  </sheetViews>
  <sheetFormatPr baseColWidth="10" defaultColWidth="8.6640625" defaultRowHeight="15" x14ac:dyDescent="0.2"/>
  <cols>
    <col min="1" max="1" width="12" customWidth="1"/>
    <col min="2" max="2" width="30" customWidth="1"/>
    <col min="3" max="4" width="16" customWidth="1"/>
    <col min="5" max="5" width="20" customWidth="1"/>
    <col min="6" max="6" width="16" customWidth="1"/>
    <col min="7" max="8" width="18" customWidth="1"/>
    <col min="9" max="9" width="16" customWidth="1"/>
    <col min="10" max="10" width="30" customWidth="1"/>
  </cols>
  <sheetData>
    <row r="1" spans="1:10" ht="36" customHeight="1" x14ac:dyDescent="0.2">
      <c r="A1" s="79" t="s">
        <v>183</v>
      </c>
      <c r="B1" s="79"/>
      <c r="C1" s="79"/>
      <c r="D1" s="79"/>
      <c r="E1" s="79"/>
      <c r="F1" s="79"/>
      <c r="G1" s="79"/>
      <c r="H1" s="79"/>
      <c r="I1" s="79"/>
      <c r="J1" s="79"/>
    </row>
    <row r="2" spans="1:10" ht="30" customHeight="1" x14ac:dyDescent="0.2">
      <c r="A2" s="42" t="s">
        <v>35</v>
      </c>
      <c r="B2" s="42" t="s">
        <v>184</v>
      </c>
      <c r="C2" s="42" t="s">
        <v>17</v>
      </c>
      <c r="D2" s="42" t="s">
        <v>185</v>
      </c>
      <c r="E2" s="42" t="s">
        <v>59</v>
      </c>
      <c r="F2" s="42" t="s">
        <v>58</v>
      </c>
      <c r="G2" s="42" t="s">
        <v>19</v>
      </c>
      <c r="H2" s="42" t="s">
        <v>186</v>
      </c>
      <c r="I2" s="42" t="s">
        <v>187</v>
      </c>
      <c r="J2" s="42" t="s">
        <v>188</v>
      </c>
    </row>
    <row r="3" spans="1:10" ht="49.5" customHeight="1" x14ac:dyDescent="0.2">
      <c r="A3" s="43" t="s">
        <v>69</v>
      </c>
      <c r="B3" s="44" t="str">
        <f>IFERROR(LEFT(VLOOKUP("R-SR-001",'📋 Risk Register'!A:B,2,FALSE()),80),"")</f>
        <v>External attacker compromises vendor VPN (PSK, no MFA). Reaches Triconex SIS via</v>
      </c>
      <c r="C3" s="44" t="str">
        <f>IFERROR(VLOOKUP("R-SR-001",'📋 Risk Register'!A:T,20,FALSE()),"")</f>
        <v>CRITICAL</v>
      </c>
      <c r="D3" s="44" t="str">
        <f>IFERROR(VLOOKUP("R-SR-001",'📋 Risk Register'!A:Z,26,FALSE()),"")</f>
        <v>Reduce</v>
      </c>
      <c r="E3" s="44" t="str">
        <f>IFERROR(VLOOKUP("R-SR-001",'📋 Risk Register'!A:Y,25,FALSE()),"")</f>
        <v>OT Security Manager + OT Engineering</v>
      </c>
      <c r="F3" s="45" t="str">
        <f>IFERROR(VLOOKUP("R-SR-001",'📋 Risk Register'!A:X,24,FALSE()),"")</f>
        <v>2025-03-01</v>
      </c>
      <c r="G3" s="44" t="str">
        <f>IFERROR(VLOOKUP("R-SR-001",'📋 Risk Register'!A:V,22,FALSE()),"")</f>
        <v>In Progress</v>
      </c>
      <c r="H3" s="46">
        <f ca="1">IFERROR(IF(G3="Closed","DONE",VLOOKUP("R-SR-001",'📋 Risk Register'!A:X,24,FALSE())-TODAY()),"")</f>
        <v>-437</v>
      </c>
      <c r="I3" s="44" t="str">
        <f>IFERROR(VLOOKUP("R-SR-001",'📋 Risk Register'!A:W,23,FALSE()),"")</f>
        <v>No</v>
      </c>
      <c r="J3" s="44" t="str">
        <f>IFERROR(LEFT(VLOOKUP("R-SR-001",'📋 Risk Register'!A:AA,27,FALSE()),120),"")</f>
        <v>(1) MFA on vendor VPN — FR1 SL-T3. (2) Physical SIS workstation isolation — IMMEDIATE. (3) PAM for vendor sessions — FR2</v>
      </c>
    </row>
    <row r="4" spans="1:10" ht="49.5" customHeight="1" x14ac:dyDescent="0.2">
      <c r="A4" s="47" t="s">
        <v>90</v>
      </c>
      <c r="B4" s="48" t="str">
        <f>IFERROR(LEFT(VLOOKUP("R-SR-002",'📋 Risk Register'!A:B,2,FALSE()),80),"")</f>
        <v>DCS compromise via IT/OT lateral movement through SCADA historian pivot. Attacke</v>
      </c>
      <c r="C4" s="48" t="str">
        <f>IFERROR(VLOOKUP("R-SR-002",'📋 Risk Register'!A:T,20,FALSE()),"")</f>
        <v>CRITICAL</v>
      </c>
      <c r="D4" s="48" t="str">
        <f>IFERROR(VLOOKUP("R-SR-002",'📋 Risk Register'!A:Z,26,FALSE()),"")</f>
        <v>Reduce</v>
      </c>
      <c r="E4" s="48" t="str">
        <f>IFERROR(VLOOKUP("R-SR-002",'📋 Risk Register'!A:Y,25,FALSE()),"")</f>
        <v>IT Security Manager + OT Engineering</v>
      </c>
      <c r="F4" s="49" t="str">
        <f>IFERROR(VLOOKUP("R-SR-002",'📋 Risk Register'!A:X,24,FALSE()),"")</f>
        <v>2025-04-01</v>
      </c>
      <c r="G4" s="48" t="str">
        <f>IFERROR(VLOOKUP("R-SR-002",'📋 Risk Register'!A:V,22,FALSE()),"")</f>
        <v>In Progress</v>
      </c>
      <c r="H4" s="50">
        <f ca="1">IFERROR(IF(G4="Closed","DONE",VLOOKUP("R-SR-002",'📋 Risk Register'!A:X,24,FALSE())-TODAY()),"")</f>
        <v>-406</v>
      </c>
      <c r="I4" s="48" t="str">
        <f>IFERROR(VLOOKUP("R-SR-002",'📋 Risk Register'!A:W,23,FALSE()),"")</f>
        <v>No</v>
      </c>
      <c r="J4" s="48" t="str">
        <f>IFERROR(LEFT(VLOOKUP("R-SR-002",'📋 Risk Register'!A:AA,27,FALSE()),120),"")</f>
        <v>(1) Industrial DMZ deployment — FR5 SL-T3. (2) OT-IDS Zone 3/4 — FR6 SL-T3. (3) Historian authentication — FR1 SL-T2. (4</v>
      </c>
    </row>
    <row r="5" spans="1:10" ht="49.5" customHeight="1" x14ac:dyDescent="0.2">
      <c r="A5" s="43" t="s">
        <v>105</v>
      </c>
      <c r="B5" s="44" t="str">
        <f>IFERROR(LEFT(VLOOKUP("R-SR-003",'📋 Risk Register'!A:B,2,FALSE()),80),"")</f>
        <v>Compressor PLCs (12 units) exploited via CVE-2022-1159 (CVSS 9.8). Attacker modi</v>
      </c>
      <c r="C5" s="44" t="str">
        <f>IFERROR(VLOOKUP("R-SR-003",'📋 Risk Register'!A:T,20,FALSE()),"")</f>
        <v>CRITICAL</v>
      </c>
      <c r="D5" s="44" t="str">
        <f>IFERROR(VLOOKUP("R-SR-003",'📋 Risk Register'!A:Z,26,FALSE()),"")</f>
        <v>Reduce</v>
      </c>
      <c r="E5" s="44" t="str">
        <f>IFERROR(VLOOKUP("R-SR-003",'📋 Risk Register'!A:Y,25,FALSE()),"")</f>
        <v>OT Engineering + Vendor (Rockwell)</v>
      </c>
      <c r="F5" s="45" t="str">
        <f>IFERROR(VLOOKUP("R-SR-003",'📋 Risk Register'!A:X,24,FALSE()),"")</f>
        <v>2025-02-15</v>
      </c>
      <c r="G5" s="44" t="str">
        <f>IFERROR(VLOOKUP("R-SR-003",'📋 Risk Register'!A:V,22,FALSE()),"")</f>
        <v>In Progress</v>
      </c>
      <c r="H5" s="46">
        <f ca="1">IFERROR(IF(G5="Closed","DONE",VLOOKUP("R-SR-003",'📋 Risk Register'!A:X,24,FALSE())-TODAY()),"")</f>
        <v>-451</v>
      </c>
      <c r="I5" s="44" t="str">
        <f>IFERROR(VLOOKUP("R-SR-003",'📋 Risk Register'!A:W,23,FALSE()),"")</f>
        <v>No</v>
      </c>
      <c r="J5" s="44" t="str">
        <f>IFERROR(LEFT(VLOOKUP("R-SR-003",'📋 Risk Register'!A:AA,27,FALSE()),120),"")</f>
        <v>(1) Emergency patch CVE-2022-1159 — coordinate maintenance windows — FR3 SL-T2. (2) PLC subnet isolation — FR5 SL-T2. (3</v>
      </c>
    </row>
    <row r="6" spans="1:10" ht="49.5" customHeight="1" x14ac:dyDescent="0.2">
      <c r="A6" s="47" t="s">
        <v>122</v>
      </c>
      <c r="B6" s="48" t="str">
        <f>IFERROR(LEFT(VLOOKUP("R-SR-004",'📋 Risk Register'!A:B,2,FALSE()),80),"")</f>
        <v>Nation-state TRITON-class direct SIS attack. Adversary develops TriStation-aware</v>
      </c>
      <c r="C6" s="48" t="str">
        <f>IFERROR(VLOOKUP("R-SR-004",'📋 Risk Register'!A:T,20,FALSE()),"")</f>
        <v>CRITICAL</v>
      </c>
      <c r="D6" s="48" t="str">
        <f>IFERROR(VLOOKUP("R-SR-004",'📋 Risk Register'!A:Z,26,FALSE()),"")</f>
        <v>Reduce</v>
      </c>
      <c r="E6" s="48" t="str">
        <f>IFERROR(VLOOKUP("R-SR-004",'📋 Risk Register'!A:Y,25,FALSE()),"")</f>
        <v>Process Safety Manager + OT Security Manager</v>
      </c>
      <c r="F6" s="49" t="str">
        <f>IFERROR(VLOOKUP("R-SR-004",'📋 Risk Register'!A:X,24,FALSE()),"")</f>
        <v>2025-06-01</v>
      </c>
      <c r="G6" s="48" t="str">
        <f>IFERROR(VLOOKUP("R-SR-004",'📋 Risk Register'!A:V,22,FALSE()),"")</f>
        <v>In Progress</v>
      </c>
      <c r="H6" s="50">
        <f ca="1">IFERROR(IF(G6="Closed","DONE",VLOOKUP("R-SR-004",'📋 Risk Register'!A:X,24,FALSE())-TODAY()),"")</f>
        <v>-345</v>
      </c>
      <c r="I6" s="48" t="str">
        <f>IFERROR(VLOOKUP("R-SR-004",'📋 Risk Register'!A:W,23,FALSE()),"")</f>
        <v>Yes</v>
      </c>
      <c r="J6" s="48" t="str">
        <f>IFERROR(LEFT(VLOOKUP("R-SR-004",'📋 Risk Register'!A:AA,27,FALSE()),120),"")</f>
        <v>(1) SIS workstation physical isolation — DONE. (2) SIS integrity monitoring via data diode — FR6 SL-T3. (3) Two-person i</v>
      </c>
    </row>
    <row r="7" spans="1:10" ht="49.5" customHeight="1" x14ac:dyDescent="0.2">
      <c r="A7" s="43" t="s">
        <v>136</v>
      </c>
      <c r="B7" s="44" t="str">
        <f>IFERROR(LEFT(VLOOKUP("R-PGP-001",'📋 Risk Register'!A:B,2,FALSE()),80),"")</f>
        <v>Rogue 802.11p V2X beacon injected near terminal. IGV navigation processor accept</v>
      </c>
      <c r="C7" s="44" t="str">
        <f>IFERROR(VLOOKUP("R-PGP-001",'📋 Risk Register'!A:T,20,FALSE()),"")</f>
        <v>CRITICAL</v>
      </c>
      <c r="D7" s="44" t="str">
        <f>IFERROR(VLOOKUP("R-PGP-001",'📋 Risk Register'!A:Z,26,FALSE()),"")</f>
        <v>Reduce</v>
      </c>
      <c r="E7" s="44" t="str">
        <f>IFERROR(VLOOKUP("R-PGP-001",'📋 Risk Register'!A:Y,25,FALSE()),"")</f>
        <v>OT Engineering + V2X Vendor</v>
      </c>
      <c r="F7" s="45" t="str">
        <f>IFERROR(VLOOKUP("R-PGP-001",'📋 Risk Register'!A:X,24,FALSE()),"")</f>
        <v>2025-05-01</v>
      </c>
      <c r="G7" s="44" t="str">
        <f>IFERROR(VLOOKUP("R-PGP-001",'📋 Risk Register'!A:V,22,FALSE()),"")</f>
        <v>Open</v>
      </c>
      <c r="H7" s="46">
        <f ca="1">IFERROR(IF(G7="Closed","DONE",VLOOKUP("R-PGP-001",'📋 Risk Register'!A:X,24,FALSE())-TODAY()),"")</f>
        <v>-376</v>
      </c>
      <c r="I7" s="44" t="str">
        <f>IFERROR(VLOOKUP("R-PGP-001",'📋 Risk Register'!A:W,23,FALSE()),"")</f>
        <v>No</v>
      </c>
      <c r="J7" s="44" t="str">
        <f>IFERROR(LEFT(VLOOKUP("R-PGP-001",'📋 Risk Register'!A:AA,27,FALSE()),120),"")</f>
        <v>(1) Implement IEEE 1609.2 WAVE Security (V2X authentication) — FR1 SL-T3. (2) Physical speed limiting in pedestrian zone</v>
      </c>
    </row>
    <row r="8" spans="1:10" ht="49.5" customHeight="1" x14ac:dyDescent="0.2">
      <c r="A8" s="47" t="s">
        <v>151</v>
      </c>
      <c r="B8" s="48" t="str">
        <f>IFERROR(LEFT(VLOOKUP("R-PGP-002",'📋 Risk Register'!A:B,2,FALSE()),80),"")</f>
        <v>MQTT broker unauthenticated. Attacker subscribes to all IGV routing topics, inje</v>
      </c>
      <c r="C8" s="48" t="str">
        <f>IFERROR(VLOOKUP("R-PGP-002",'📋 Risk Register'!A:T,20,FALSE()),"")</f>
        <v>CRITICAL</v>
      </c>
      <c r="D8" s="48" t="str">
        <f>IFERROR(VLOOKUP("R-PGP-002",'📋 Risk Register'!A:Z,26,FALSE()),"")</f>
        <v>Reduce</v>
      </c>
      <c r="E8" s="48" t="str">
        <f>IFERROR(VLOOKUP("R-PGP-002",'📋 Risk Register'!A:Y,25,FALSE()),"")</f>
        <v>IT Security Manager + FMS Vendor</v>
      </c>
      <c r="F8" s="49" t="str">
        <f>IFERROR(VLOOKUP("R-PGP-002",'📋 Risk Register'!A:X,24,FALSE()),"")</f>
        <v>2025-04-15</v>
      </c>
      <c r="G8" s="48" t="str">
        <f>IFERROR(VLOOKUP("R-PGP-002",'📋 Risk Register'!A:V,22,FALSE()),"")</f>
        <v>Open</v>
      </c>
      <c r="H8" s="50">
        <f ca="1">IFERROR(IF(G8="Closed","DONE",VLOOKUP("R-PGP-002",'📋 Risk Register'!A:X,24,FALSE())-TODAY()),"")</f>
        <v>-392</v>
      </c>
      <c r="I8" s="48" t="str">
        <f>IFERROR(VLOOKUP("R-PGP-002",'📋 Risk Register'!A:W,23,FALSE()),"")</f>
        <v>No</v>
      </c>
      <c r="J8" s="48" t="str">
        <f>IFERROR(LEFT(VLOOKUP("R-PGP-002",'📋 Risk Register'!A:AA,27,FALSE()),120),"")</f>
        <v>(1) MQTT over TLS (port 8883) — FR4 SL-T2. (2) HMAC message integrity on all IGV commands — FR3 SL-T2. (3) Broker authen</v>
      </c>
    </row>
    <row r="11" spans="1:10" ht="19.5" customHeight="1" x14ac:dyDescent="0.2">
      <c r="A11" s="80" t="s">
        <v>189</v>
      </c>
      <c r="B11" s="80"/>
      <c r="C11" s="80"/>
      <c r="D11" s="80"/>
      <c r="E11" s="80"/>
      <c r="F11" s="80"/>
      <c r="G11" s="80"/>
      <c r="H11" s="80"/>
      <c r="I11" s="80"/>
      <c r="J11" s="80"/>
    </row>
    <row r="12" spans="1:10" ht="27.75" customHeight="1" x14ac:dyDescent="0.2">
      <c r="A12" s="51" t="s">
        <v>21</v>
      </c>
      <c r="B12" s="52">
        <f>COUNTIF(G3:G9,"Open")</f>
        <v>2</v>
      </c>
      <c r="C12" s="51" t="s">
        <v>23</v>
      </c>
      <c r="D12" s="52">
        <f>COUNTIF(G3:G9,"In Progress")</f>
        <v>4</v>
      </c>
      <c r="E12" s="51" t="s">
        <v>25</v>
      </c>
      <c r="F12" s="52">
        <f>COUNTIF(G3:G9,"Closed")</f>
        <v>0</v>
      </c>
      <c r="G12" s="51" t="s">
        <v>190</v>
      </c>
      <c r="H12" s="52">
        <f ca="1">COUNTIFS(H3:H9,"&lt;0",G3:G9,"&lt;&gt;Closed")</f>
        <v>6</v>
      </c>
      <c r="I12" s="51" t="s">
        <v>191</v>
      </c>
      <c r="J12" s="52" t="str">
        <f>TEXT(COUNTIF(G3:G9,"Closed")/COUNTA(G3:G9),"0%")</f>
        <v>0%</v>
      </c>
    </row>
  </sheetData>
  <mergeCells count="2">
    <mergeCell ref="A1:J1"/>
    <mergeCell ref="A11:J11"/>
  </mergeCells>
  <conditionalFormatting sqref="C3:C9">
    <cfRule type="cellIs" dxfId="8" priority="7" operator="equal">
      <formula>"CRITICAL"</formula>
    </cfRule>
    <cfRule type="cellIs" dxfId="7" priority="8" operator="equal">
      <formula>"HIGH"</formula>
    </cfRule>
    <cfRule type="cellIs" dxfId="6" priority="9" operator="equal">
      <formula>"MEDIUM"</formula>
    </cfRule>
    <cfRule type="cellIs" dxfId="5" priority="10" operator="equal">
      <formula>"LOW"</formula>
    </cfRule>
  </conditionalFormatting>
  <conditionalFormatting sqref="G3:G9">
    <cfRule type="cellIs" dxfId="4" priority="2" operator="equal">
      <formula>"Open"</formula>
    </cfRule>
    <cfRule type="cellIs" dxfId="3" priority="3" operator="equal">
      <formula>"In Progress"</formula>
    </cfRule>
    <cfRule type="cellIs" dxfId="2" priority="4" operator="equal">
      <formula>"Closed"</formula>
    </cfRule>
    <cfRule type="cellIs" dxfId="1" priority="5" operator="equal">
      <formula>"Accepted"</formula>
    </cfRule>
  </conditionalFormatting>
  <conditionalFormatting sqref="H3:H9">
    <cfRule type="expression" dxfId="0" priority="6">
      <formula>AND(ISNUMBER(H3),H3&lt;0,G3&lt;&gt;"Closed")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B1:C23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28" customWidth="1"/>
    <col min="3" max="3" width="50" customWidth="1"/>
    <col min="4" max="4" width="3" customWidth="1"/>
  </cols>
  <sheetData>
    <row r="1" spans="2:3" ht="39.75" customHeight="1" x14ac:dyDescent="0.2">
      <c r="B1" s="81" t="s">
        <v>192</v>
      </c>
      <c r="C1" s="81"/>
    </row>
    <row r="2" spans="2:3" ht="21.75" customHeight="1" x14ac:dyDescent="0.2">
      <c r="B2" s="82" t="s">
        <v>193</v>
      </c>
      <c r="C2" s="82"/>
    </row>
    <row r="3" spans="2:3" ht="54.75" customHeight="1" x14ac:dyDescent="0.2">
      <c r="B3" s="53" t="s">
        <v>194</v>
      </c>
      <c r="C3" s="54" t="s">
        <v>195</v>
      </c>
    </row>
    <row r="4" spans="2:3" ht="54.75" customHeight="1" x14ac:dyDescent="0.2">
      <c r="B4" s="53" t="s">
        <v>196</v>
      </c>
      <c r="C4" s="54" t="s">
        <v>197</v>
      </c>
    </row>
    <row r="5" spans="2:3" ht="54.75" customHeight="1" x14ac:dyDescent="0.2">
      <c r="B5" s="53" t="s">
        <v>198</v>
      </c>
      <c r="C5" s="54" t="s">
        <v>199</v>
      </c>
    </row>
    <row r="6" spans="2:3" ht="54.75" customHeight="1" x14ac:dyDescent="0.2">
      <c r="B6" s="53" t="s">
        <v>200</v>
      </c>
      <c r="C6" s="54" t="s">
        <v>201</v>
      </c>
    </row>
    <row r="7" spans="2:3" ht="54.75" customHeight="1" x14ac:dyDescent="0.2">
      <c r="B7" s="53" t="s">
        <v>202</v>
      </c>
      <c r="C7" s="54" t="s">
        <v>203</v>
      </c>
    </row>
    <row r="8" spans="2:3" ht="54.75" customHeight="1" x14ac:dyDescent="0.2">
      <c r="B8" s="53" t="s">
        <v>204</v>
      </c>
      <c r="C8" s="54" t="s">
        <v>205</v>
      </c>
    </row>
    <row r="9" spans="2:3" ht="21.75" customHeight="1" x14ac:dyDescent="0.2">
      <c r="B9" s="83" t="s">
        <v>206</v>
      </c>
      <c r="C9" s="83"/>
    </row>
    <row r="10" spans="2:3" ht="54.75" customHeight="1" x14ac:dyDescent="0.2">
      <c r="B10" s="55" t="s">
        <v>45</v>
      </c>
      <c r="C10" s="56" t="s">
        <v>207</v>
      </c>
    </row>
    <row r="11" spans="2:3" ht="54.75" customHeight="1" x14ac:dyDescent="0.2">
      <c r="B11" s="55" t="s">
        <v>208</v>
      </c>
      <c r="C11" s="56" t="s">
        <v>209</v>
      </c>
    </row>
    <row r="12" spans="2:3" ht="54.75" customHeight="1" x14ac:dyDescent="0.2">
      <c r="B12" s="55" t="s">
        <v>210</v>
      </c>
      <c r="C12" s="56" t="s">
        <v>211</v>
      </c>
    </row>
    <row r="13" spans="2:3" ht="21.75" customHeight="1" x14ac:dyDescent="0.2">
      <c r="B13" s="84" t="s">
        <v>212</v>
      </c>
      <c r="C13" s="84"/>
    </row>
    <row r="14" spans="2:3" ht="54.75" customHeight="1" x14ac:dyDescent="0.2">
      <c r="B14" s="57" t="s">
        <v>213</v>
      </c>
      <c r="C14" s="58" t="s">
        <v>214</v>
      </c>
    </row>
    <row r="15" spans="2:3" ht="54.75" customHeight="1" x14ac:dyDescent="0.2">
      <c r="B15" s="57" t="s">
        <v>215</v>
      </c>
      <c r="C15" s="58" t="s">
        <v>216</v>
      </c>
    </row>
    <row r="16" spans="2:3" ht="54.75" customHeight="1" x14ac:dyDescent="0.2">
      <c r="B16" s="57" t="s">
        <v>217</v>
      </c>
      <c r="C16" s="58" t="s">
        <v>218</v>
      </c>
    </row>
    <row r="17" spans="2:3" ht="54.75" customHeight="1" x14ac:dyDescent="0.2">
      <c r="B17" s="57" t="s">
        <v>219</v>
      </c>
      <c r="C17" s="58" t="s">
        <v>220</v>
      </c>
    </row>
    <row r="18" spans="2:3" ht="21.75" customHeight="1" x14ac:dyDescent="0.2">
      <c r="B18" s="85" t="s">
        <v>221</v>
      </c>
      <c r="C18" s="85"/>
    </row>
    <row r="19" spans="2:3" ht="54.75" customHeight="1" x14ac:dyDescent="0.2">
      <c r="B19" s="59" t="s">
        <v>222</v>
      </c>
      <c r="C19" s="60" t="s">
        <v>223</v>
      </c>
    </row>
    <row r="20" spans="2:3" ht="54.75" customHeight="1" x14ac:dyDescent="0.2">
      <c r="B20" s="59" t="s">
        <v>224</v>
      </c>
      <c r="C20" s="60" t="s">
        <v>225</v>
      </c>
    </row>
    <row r="21" spans="2:3" ht="54.75" customHeight="1" x14ac:dyDescent="0.2">
      <c r="B21" s="59" t="s">
        <v>226</v>
      </c>
      <c r="C21" s="60" t="s">
        <v>227</v>
      </c>
    </row>
    <row r="22" spans="2:3" ht="54.75" customHeight="1" x14ac:dyDescent="0.2">
      <c r="B22" s="59" t="s">
        <v>228</v>
      </c>
      <c r="C22" s="60" t="s">
        <v>229</v>
      </c>
    </row>
    <row r="23" spans="2:3" ht="54.75" customHeight="1" x14ac:dyDescent="0.2">
      <c r="B23" s="59" t="s">
        <v>230</v>
      </c>
      <c r="C23" s="60" t="s">
        <v>231</v>
      </c>
    </row>
  </sheetData>
  <mergeCells count="5">
    <mergeCell ref="B1:C1"/>
    <mergeCell ref="B2:C2"/>
    <mergeCell ref="B9:C9"/>
    <mergeCell ref="B13:C13"/>
    <mergeCell ref="B18:C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Dashboard</vt:lpstr>
      <vt:lpstr>📋 Risk Register</vt:lpstr>
      <vt:lpstr>🎯 Risk Matrix</vt:lpstr>
      <vt:lpstr>🔧 Treatment Tracker</vt:lpstr>
      <vt:lpstr>📖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De Jager</cp:lastModifiedBy>
  <cp:revision>1</cp:revision>
  <dcterms:created xsi:type="dcterms:W3CDTF">2026-05-12T11:53:06Z</dcterms:created>
  <dcterms:modified xsi:type="dcterms:W3CDTF">2026-05-12T11:57:37Z</dcterms:modified>
  <dc:language>en-US</dc:language>
</cp:coreProperties>
</file>